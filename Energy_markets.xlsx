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 Rambim\Downloads\"/>
    </mc:Choice>
  </mc:AlternateContent>
  <xr:revisionPtr revIDLastSave="0" documentId="13_ncr:1_{BDD4E30C-5991-47DF-8886-0ED41C53008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y-Ahead" sheetId="1" r:id="rId1"/>
    <sheet name="Balancing mark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1" l="1"/>
  <c r="D94" i="1"/>
  <c r="F94" i="1"/>
  <c r="F93" i="1"/>
  <c r="F89" i="1"/>
  <c r="F90" i="1"/>
  <c r="F91" i="1"/>
  <c r="F92" i="1"/>
  <c r="F88" i="1"/>
  <c r="F81" i="1"/>
  <c r="F82" i="1"/>
  <c r="F80" i="1"/>
  <c r="F83" i="1" s="1"/>
  <c r="D32" i="1"/>
  <c r="D33" i="1" s="1"/>
  <c r="D34" i="1" s="1"/>
  <c r="D35" i="1" s="1"/>
  <c r="D36" i="1" s="1"/>
  <c r="D37" i="1" s="1"/>
  <c r="D38" i="1" s="1"/>
  <c r="E25" i="1"/>
  <c r="E26" i="1" s="1"/>
  <c r="E27" i="1" s="1"/>
  <c r="E28" i="1" s="1"/>
  <c r="E24" i="1"/>
</calcChain>
</file>

<file path=xl/sharedStrings.xml><?xml version="1.0" encoding="utf-8"?>
<sst xmlns="http://schemas.openxmlformats.org/spreadsheetml/2006/main" count="127" uniqueCount="46">
  <si>
    <t>Hydro</t>
  </si>
  <si>
    <t>CHP</t>
  </si>
  <si>
    <t>PV</t>
  </si>
  <si>
    <t>Nuclear</t>
  </si>
  <si>
    <t>Gas</t>
  </si>
  <si>
    <t>Short name</t>
  </si>
  <si>
    <t>S1</t>
  </si>
  <si>
    <t>S2</t>
  </si>
  <si>
    <t>S3</t>
  </si>
  <si>
    <t>S4</t>
  </si>
  <si>
    <t>S5</t>
  </si>
  <si>
    <t>Quantity (MWh)</t>
  </si>
  <si>
    <t>Price (€)</t>
  </si>
  <si>
    <t>D1</t>
  </si>
  <si>
    <t>D2</t>
  </si>
  <si>
    <t>D3</t>
  </si>
  <si>
    <t>D4</t>
  </si>
  <si>
    <t>D5</t>
  </si>
  <si>
    <t>D6</t>
  </si>
  <si>
    <t>D7</t>
  </si>
  <si>
    <t xml:space="preserve">Demand </t>
  </si>
  <si>
    <t>Technology supplied</t>
  </si>
  <si>
    <t>Supply curve construction</t>
  </si>
  <si>
    <t>-</t>
  </si>
  <si>
    <t>Price(€)</t>
  </si>
  <si>
    <t>Capacity (MW)</t>
  </si>
  <si>
    <t>Marginal cost (€/MWh)</t>
  </si>
  <si>
    <t>Demand curve construction</t>
  </si>
  <si>
    <t>Surplus</t>
  </si>
  <si>
    <t>TOTAL</t>
  </si>
  <si>
    <t>Bidding price (€/MWh)</t>
  </si>
  <si>
    <t>Market price (€/MWh)</t>
  </si>
  <si>
    <t>Surplus (€)</t>
  </si>
  <si>
    <t>Offered quantity (MWh)</t>
  </si>
  <si>
    <t>Real quantity (MWh)</t>
  </si>
  <si>
    <t>Real quantity  (MWh)</t>
  </si>
  <si>
    <t>Price up (€)</t>
  </si>
  <si>
    <t>Downward Quantity  (MWh)</t>
  </si>
  <si>
    <t>Upward Quantity  (MWh)</t>
  </si>
  <si>
    <t>Price Downward (€)</t>
  </si>
  <si>
    <t>*maximum willingness to pay</t>
  </si>
  <si>
    <t>*minimum to sell</t>
  </si>
  <si>
    <t>Cumulative Demand (MWh)</t>
  </si>
  <si>
    <t>Cumulative production (MWh)</t>
  </si>
  <si>
    <t>D8</t>
  </si>
  <si>
    <t>Cumulative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</si>
</sst>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4" xfId="0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5" xfId="0" applyFont="1" applyFill="1" applyBorder="1"/>
    <xf numFmtId="0" fontId="2" fillId="3" borderId="2" xfId="0" applyFont="1" applyFill="1" applyBorder="1"/>
    <xf numFmtId="0" fontId="2" fillId="3" borderId="4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1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8" xfId="0" applyFont="1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17" xfId="0" applyFill="1" applyBorder="1"/>
    <xf numFmtId="0" fontId="0" fillId="5" borderId="14" xfId="0" applyFill="1" applyBorder="1"/>
    <xf numFmtId="0" fontId="0" fillId="5" borderId="16" xfId="0" applyFill="1" applyBorder="1"/>
    <xf numFmtId="0" fontId="1" fillId="2" borderId="18" xfId="0" applyFont="1" applyFill="1" applyBorder="1" applyAlignment="1">
      <alignment horizontal="center" vertical="center"/>
    </xf>
    <xf numFmtId="0" fontId="2" fillId="3" borderId="20" xfId="0" applyFont="1" applyFill="1" applyBorder="1"/>
    <xf numFmtId="0" fontId="1" fillId="2" borderId="1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2" borderId="22" xfId="0" applyFont="1" applyFill="1" applyBorder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 and Supply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'Day-Ahead'!$B$43:$B$52</c:f>
              <c:numCache>
                <c:formatCode>General</c:formatCode>
                <c:ptCount val="10"/>
                <c:pt idx="0">
                  <c:v>0</c:v>
                </c:pt>
                <c:pt idx="1">
                  <c:v>32</c:v>
                </c:pt>
                <c:pt idx="2">
                  <c:v>32</c:v>
                </c:pt>
                <c:pt idx="3">
                  <c:v>102</c:v>
                </c:pt>
                <c:pt idx="4">
                  <c:v>102</c:v>
                </c:pt>
                <c:pt idx="5">
                  <c:v>202</c:v>
                </c:pt>
                <c:pt idx="6">
                  <c:v>202</c:v>
                </c:pt>
                <c:pt idx="7">
                  <c:v>227</c:v>
                </c:pt>
                <c:pt idx="8">
                  <c:v>227</c:v>
                </c:pt>
                <c:pt idx="9">
                  <c:v>242</c:v>
                </c:pt>
              </c:numCache>
            </c:numRef>
          </c:xVal>
          <c:yVal>
            <c:numRef>
              <c:f>'Day-Ahead'!$C$43:$C$52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15</c:v>
                </c:pt>
                <c:pt idx="6">
                  <c:v>42</c:v>
                </c:pt>
                <c:pt idx="7">
                  <c:v>42</c:v>
                </c:pt>
                <c:pt idx="8">
                  <c:v>75</c:v>
                </c:pt>
                <c:pt idx="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D-8941-B2A3-5FA58532ABD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'Day-Ahead'!$B$60:$B$74</c:f>
              <c:numCache>
                <c:formatCode>General</c:formatCode>
                <c:ptCount val="15"/>
                <c:pt idx="0">
                  <c:v>0</c:v>
                </c:pt>
                <c:pt idx="1">
                  <c:v>23</c:v>
                </c:pt>
                <c:pt idx="2">
                  <c:v>23</c:v>
                </c:pt>
                <c:pt idx="3">
                  <c:v>58</c:v>
                </c:pt>
                <c:pt idx="4">
                  <c:v>58</c:v>
                </c:pt>
                <c:pt idx="5">
                  <c:v>101</c:v>
                </c:pt>
                <c:pt idx="6">
                  <c:v>101</c:v>
                </c:pt>
                <c:pt idx="7">
                  <c:v>158</c:v>
                </c:pt>
                <c:pt idx="8">
                  <c:v>158</c:v>
                </c:pt>
                <c:pt idx="9">
                  <c:v>196</c:v>
                </c:pt>
                <c:pt idx="10">
                  <c:v>196</c:v>
                </c:pt>
                <c:pt idx="11">
                  <c:v>212</c:v>
                </c:pt>
                <c:pt idx="12">
                  <c:v>212</c:v>
                </c:pt>
                <c:pt idx="13">
                  <c:v>224</c:v>
                </c:pt>
                <c:pt idx="14">
                  <c:v>224</c:v>
                </c:pt>
              </c:numCache>
            </c:numRef>
          </c:xVal>
          <c:yVal>
            <c:numRef>
              <c:f>'Day-Ahead'!$C$60:$C$74</c:f>
              <c:numCache>
                <c:formatCode>General</c:formatCode>
                <c:ptCount val="15"/>
                <c:pt idx="0">
                  <c:v>78</c:v>
                </c:pt>
                <c:pt idx="1">
                  <c:v>78</c:v>
                </c:pt>
                <c:pt idx="2">
                  <c:v>65</c:v>
                </c:pt>
                <c:pt idx="3">
                  <c:v>65</c:v>
                </c:pt>
                <c:pt idx="4">
                  <c:v>63</c:v>
                </c:pt>
                <c:pt idx="5">
                  <c:v>63</c:v>
                </c:pt>
                <c:pt idx="6">
                  <c:v>50</c:v>
                </c:pt>
                <c:pt idx="7">
                  <c:v>50</c:v>
                </c:pt>
                <c:pt idx="8">
                  <c:v>46</c:v>
                </c:pt>
                <c:pt idx="9">
                  <c:v>46</c:v>
                </c:pt>
                <c:pt idx="10">
                  <c:v>32</c:v>
                </c:pt>
                <c:pt idx="11">
                  <c:v>32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43AD-8941-B2A3-5FA58532A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54112"/>
        <c:axId val="1032854976"/>
      </c:scatterChart>
      <c:valAx>
        <c:axId val="10335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54976"/>
        <c:crosses val="autoZero"/>
        <c:crossBetween val="midCat"/>
      </c:valAx>
      <c:valAx>
        <c:axId val="10328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5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'Day-Ahead'!$B$60:$B$74</c:f>
              <c:numCache>
                <c:formatCode>General</c:formatCode>
                <c:ptCount val="15"/>
                <c:pt idx="0">
                  <c:v>0</c:v>
                </c:pt>
                <c:pt idx="1">
                  <c:v>23</c:v>
                </c:pt>
                <c:pt idx="2">
                  <c:v>23</c:v>
                </c:pt>
                <c:pt idx="3">
                  <c:v>58</c:v>
                </c:pt>
                <c:pt idx="4">
                  <c:v>58</c:v>
                </c:pt>
                <c:pt idx="5">
                  <c:v>101</c:v>
                </c:pt>
                <c:pt idx="6">
                  <c:v>101</c:v>
                </c:pt>
                <c:pt idx="7">
                  <c:v>158</c:v>
                </c:pt>
                <c:pt idx="8">
                  <c:v>158</c:v>
                </c:pt>
                <c:pt idx="9">
                  <c:v>196</c:v>
                </c:pt>
                <c:pt idx="10">
                  <c:v>196</c:v>
                </c:pt>
                <c:pt idx="11">
                  <c:v>212</c:v>
                </c:pt>
                <c:pt idx="12">
                  <c:v>212</c:v>
                </c:pt>
                <c:pt idx="13">
                  <c:v>224</c:v>
                </c:pt>
                <c:pt idx="14">
                  <c:v>224</c:v>
                </c:pt>
              </c:numCache>
            </c:numRef>
          </c:xVal>
          <c:yVal>
            <c:numRef>
              <c:f>'Day-Ahead'!$C$60:$C$74</c:f>
              <c:numCache>
                <c:formatCode>General</c:formatCode>
                <c:ptCount val="15"/>
                <c:pt idx="0">
                  <c:v>78</c:v>
                </c:pt>
                <c:pt idx="1">
                  <c:v>78</c:v>
                </c:pt>
                <c:pt idx="2">
                  <c:v>65</c:v>
                </c:pt>
                <c:pt idx="3">
                  <c:v>65</c:v>
                </c:pt>
                <c:pt idx="4">
                  <c:v>63</c:v>
                </c:pt>
                <c:pt idx="5">
                  <c:v>63</c:v>
                </c:pt>
                <c:pt idx="6">
                  <c:v>50</c:v>
                </c:pt>
                <c:pt idx="7">
                  <c:v>50</c:v>
                </c:pt>
                <c:pt idx="8">
                  <c:v>46</c:v>
                </c:pt>
                <c:pt idx="9">
                  <c:v>46</c:v>
                </c:pt>
                <c:pt idx="10">
                  <c:v>32</c:v>
                </c:pt>
                <c:pt idx="11">
                  <c:v>32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1-EA44-8C94-0513DD451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818624"/>
        <c:axId val="1032817280"/>
      </c:scatterChart>
      <c:valAx>
        <c:axId val="103281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Capacity</a:t>
                </a:r>
                <a:r>
                  <a:rPr lang="en-GB" baseline="0"/>
                  <a:t> (MW)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7280"/>
        <c:crosses val="autoZero"/>
        <c:crossBetween val="midCat"/>
      </c:valAx>
      <c:valAx>
        <c:axId val="103281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  <a:r>
                  <a:rPr lang="en-GB" baseline="0"/>
                  <a:t> (€)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Supply</a:t>
            </a:r>
            <a:r>
              <a:rPr lang="en-GB" baseline="0"/>
              <a:t> Curve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'Day-Ahead'!$B$43:$B$52</c:f>
              <c:numCache>
                <c:formatCode>General</c:formatCode>
                <c:ptCount val="10"/>
                <c:pt idx="0">
                  <c:v>0</c:v>
                </c:pt>
                <c:pt idx="1">
                  <c:v>32</c:v>
                </c:pt>
                <c:pt idx="2">
                  <c:v>32</c:v>
                </c:pt>
                <c:pt idx="3">
                  <c:v>102</c:v>
                </c:pt>
                <c:pt idx="4">
                  <c:v>102</c:v>
                </c:pt>
                <c:pt idx="5">
                  <c:v>202</c:v>
                </c:pt>
                <c:pt idx="6">
                  <c:v>202</c:v>
                </c:pt>
                <c:pt idx="7">
                  <c:v>227</c:v>
                </c:pt>
                <c:pt idx="8">
                  <c:v>227</c:v>
                </c:pt>
                <c:pt idx="9">
                  <c:v>242</c:v>
                </c:pt>
              </c:numCache>
            </c:numRef>
          </c:xVal>
          <c:yVal>
            <c:numRef>
              <c:f>'Day-Ahead'!$C$43:$C$52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15</c:v>
                </c:pt>
                <c:pt idx="6">
                  <c:v>42</c:v>
                </c:pt>
                <c:pt idx="7">
                  <c:v>42</c:v>
                </c:pt>
                <c:pt idx="8">
                  <c:v>75</c:v>
                </c:pt>
                <c:pt idx="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0-4D01-99D9-D6C9B6FE0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62783"/>
        <c:axId val="511363743"/>
      </c:scatterChart>
      <c:valAx>
        <c:axId val="51136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Capacity</a:t>
                </a:r>
                <a:r>
                  <a:rPr lang="en-GB" baseline="0"/>
                  <a:t> (MW)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3743"/>
        <c:crosses val="autoZero"/>
        <c:crossBetween val="midCat"/>
      </c:valAx>
      <c:valAx>
        <c:axId val="5113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Marginal cost (€/MWh)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Supply</a:t>
            </a:r>
            <a:r>
              <a:rPr lang="en-GB" baseline="0"/>
              <a:t> Curve with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353727034120735"/>
          <c:y val="0.17171296296296296"/>
          <c:w val="0.82140507436570442"/>
          <c:h val="0.673642096821230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'Balancing market'!$C$14</c:f>
              <c:strCache>
                <c:ptCount val="1"/>
                <c:pt idx="0">
                  <c:v>Marginal cost (€/MWh)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'Balancing market'!$B$15:$B$20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25</c:v>
                </c:pt>
                <c:pt idx="5">
                  <c:v>40</c:v>
                </c:pt>
              </c:numCache>
            </c:numRef>
          </c:xVal>
          <c:yVal>
            <c:numRef>
              <c:f>'Balancing market'!$C$15:$C$20</c:f>
              <c:numCache>
                <c:formatCode>General</c:formatCode>
                <c:ptCount val="6"/>
                <c:pt idx="0">
                  <c:v>35</c:v>
                </c:pt>
                <c:pt idx="1">
                  <c:v>35</c:v>
                </c:pt>
                <c:pt idx="2">
                  <c:v>50</c:v>
                </c:pt>
                <c:pt idx="3">
                  <c:v>50</c:v>
                </c:pt>
                <c:pt idx="4">
                  <c:v>80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E-4210-962C-0B2230322B1D}"/>
            </c:ext>
          </c:extLst>
        </c:ser>
        <c:ser>
          <c:idx val="1"/>
          <c:order val="1"/>
          <c:tx>
            <c:strRef>
              <c:f>'Balancing market'!$A$21:$C$21</c:f>
              <c:strCache>
                <c:ptCount val="1"/>
                <c:pt idx="0">
                  <c:v>Demand curve construction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'Balancing market'!$C$22:$C$23</c:f>
              <c:numCache>
                <c:formatCode>General</c:formatCode>
                <c:ptCount val="2"/>
                <c:pt idx="0">
                  <c:v>22</c:v>
                </c:pt>
                <c:pt idx="1">
                  <c:v>22</c:v>
                </c:pt>
              </c:numCache>
            </c:numRef>
          </c:xVal>
          <c:yVal>
            <c:numRef>
              <c:f>'Balancing market'!$B$22:$B$23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1E-4210-962C-0B2230322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760143"/>
        <c:axId val="1297753903"/>
      </c:scatterChart>
      <c:valAx>
        <c:axId val="129776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Capacity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753903"/>
        <c:crosses val="autoZero"/>
        <c:crossBetween val="midCat"/>
      </c:valAx>
      <c:valAx>
        <c:axId val="12977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Marginal cost (€/MWh) </a:t>
                </a:r>
                <a:r>
                  <a:rPr lang="en-GB" b="0" baseline="0"/>
                  <a:t> 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76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Supply</a:t>
            </a:r>
            <a:r>
              <a:rPr lang="en-GB" baseline="0"/>
              <a:t> curve</a:t>
            </a:r>
            <a:endParaRPr lang="en-GB"/>
          </a:p>
        </c:rich>
      </c:tx>
      <c:layout>
        <c:manualLayout>
          <c:xMode val="edge"/>
          <c:yMode val="edge"/>
          <c:x val="0.3848611111111111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'Balancing market'!$C$14</c:f>
              <c:strCache>
                <c:ptCount val="1"/>
                <c:pt idx="0">
                  <c:v>Marginal cost (€/MWh)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'Balancing market'!$B$15:$B$20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25</c:v>
                </c:pt>
                <c:pt idx="5">
                  <c:v>40</c:v>
                </c:pt>
              </c:numCache>
            </c:numRef>
          </c:xVal>
          <c:yVal>
            <c:numRef>
              <c:f>'Balancing market'!$C$15:$C$20</c:f>
              <c:numCache>
                <c:formatCode>General</c:formatCode>
                <c:ptCount val="6"/>
                <c:pt idx="0">
                  <c:v>35</c:v>
                </c:pt>
                <c:pt idx="1">
                  <c:v>35</c:v>
                </c:pt>
                <c:pt idx="2">
                  <c:v>50</c:v>
                </c:pt>
                <c:pt idx="3">
                  <c:v>50</c:v>
                </c:pt>
                <c:pt idx="4">
                  <c:v>80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3-42AF-8C17-DA119E2EF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842543"/>
        <c:axId val="631843503"/>
      </c:scatterChart>
      <c:valAx>
        <c:axId val="63184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Capacity (MW) 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43503"/>
        <c:crosses val="autoZero"/>
        <c:crossBetween val="midCat"/>
      </c:valAx>
      <c:valAx>
        <c:axId val="63184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Marginal cost (€/MWh) 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4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711152</xdr:colOff>
      <xdr:row>46</xdr:row>
      <xdr:rowOff>106770</xdr:rowOff>
    </xdr:from>
    <xdr:to>
      <xdr:col>11</xdr:col>
      <xdr:colOff>335707</xdr:colOff>
      <xdr:row>60</xdr:row>
      <xdr:rowOff>117868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BF266-909C-F95B-AAC8-8FD89BAF9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638675</xdr:colOff>
      <xdr:row>31</xdr:row>
      <xdr:rowOff>33617</xdr:rowOff>
    </xdr:from>
    <xdr:to>
      <xdr:col>14</xdr:col>
      <xdr:colOff>408054</xdr:colOff>
      <xdr:row>46</xdr:row>
      <xdr:rowOff>29388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26871-9655-B7A8-85DE-878C4CBFF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274392</xdr:colOff>
      <xdr:row>31</xdr:row>
      <xdr:rowOff>33779</xdr:rowOff>
    </xdr:from>
    <xdr:to>
      <xdr:col>8</xdr:col>
      <xdr:colOff>429114</xdr:colOff>
      <xdr:row>46</xdr:row>
      <xdr:rowOff>39616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E5B2F5-7488-B443-FE6D-1E5D1EADA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31905</xdr:colOff>
      <xdr:row>13</xdr:row>
      <xdr:rowOff>113673</xdr:rowOff>
    </xdr:from>
    <xdr:to>
      <xdr:col>16</xdr:col>
      <xdr:colOff>1030895</xdr:colOff>
      <xdr:row>33</xdr:row>
      <xdr:rowOff>43117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4BC2D-5FDF-9CE0-5FB5-3BC29A51C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78395</xdr:colOff>
      <xdr:row>13</xdr:row>
      <xdr:rowOff>106147</xdr:rowOff>
    </xdr:from>
    <xdr:to>
      <xdr:col>8</xdr:col>
      <xdr:colOff>470370</xdr:colOff>
      <xdr:row>32</xdr:row>
      <xdr:rowOff>31359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F3D523-6138-C402-032A-F46CC6165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opLeftCell="A21" zoomScale="85" zoomScaleNormal="85" workbookViewId="0">
      <selection activeCell="U12" sqref="U12"/>
    </sheetView>
  </sheetViews>
  <sheetFormatPr defaultColWidth="10.85546875" defaultRowHeight="15" x14ac:dyDescent="0.25"/>
  <cols>
    <col min="1" max="1" width="25.140625" customWidth="1"/>
    <col min="2" max="2" width="28.85546875" customWidth="1"/>
    <col min="3" max="3" width="27.42578125" customWidth="1"/>
    <col min="4" max="4" width="27.140625" customWidth="1"/>
    <col min="5" max="5" width="29.140625" customWidth="1"/>
  </cols>
  <sheetData>
    <row r="1" spans="1:5" ht="15.75" thickBot="1" x14ac:dyDescent="0.3"/>
    <row r="2" spans="1:5" ht="15.75" thickBot="1" x14ac:dyDescent="0.3">
      <c r="A2" s="4" t="s">
        <v>21</v>
      </c>
      <c r="B2" s="4" t="s">
        <v>5</v>
      </c>
      <c r="C2" s="4" t="s">
        <v>11</v>
      </c>
      <c r="D2" s="4" t="s">
        <v>12</v>
      </c>
      <c r="E2" s="27" t="s">
        <v>41</v>
      </c>
    </row>
    <row r="3" spans="1:5" x14ac:dyDescent="0.25">
      <c r="A3" s="5" t="s">
        <v>4</v>
      </c>
      <c r="B3" s="1" t="s">
        <v>6</v>
      </c>
      <c r="C3" s="1">
        <v>15</v>
      </c>
      <c r="D3" s="1">
        <v>75</v>
      </c>
    </row>
    <row r="4" spans="1:5" x14ac:dyDescent="0.25">
      <c r="A4" s="5" t="s">
        <v>3</v>
      </c>
      <c r="B4" s="2" t="s">
        <v>7</v>
      </c>
      <c r="C4" s="2">
        <v>100</v>
      </c>
      <c r="D4" s="2">
        <v>15</v>
      </c>
    </row>
    <row r="5" spans="1:5" x14ac:dyDescent="0.25">
      <c r="A5" s="5" t="s">
        <v>2</v>
      </c>
      <c r="B5" s="2" t="s">
        <v>8</v>
      </c>
      <c r="C5" s="2">
        <v>32</v>
      </c>
      <c r="D5" s="2">
        <v>0</v>
      </c>
    </row>
    <row r="6" spans="1:5" x14ac:dyDescent="0.25">
      <c r="A6" s="5" t="s">
        <v>1</v>
      </c>
      <c r="B6" s="2" t="s">
        <v>9</v>
      </c>
      <c r="C6" s="2">
        <v>25</v>
      </c>
      <c r="D6" s="2">
        <v>42</v>
      </c>
    </row>
    <row r="7" spans="1:5" ht="15.75" thickBot="1" x14ac:dyDescent="0.3">
      <c r="A7" s="6" t="s">
        <v>0</v>
      </c>
      <c r="B7" s="3" t="s">
        <v>10</v>
      </c>
      <c r="C7" s="3">
        <v>70</v>
      </c>
      <c r="D7" s="3">
        <v>10</v>
      </c>
    </row>
    <row r="11" spans="1:5" ht="15.75" thickBot="1" x14ac:dyDescent="0.3"/>
    <row r="12" spans="1:5" ht="15.75" thickBot="1" x14ac:dyDescent="0.3">
      <c r="A12" s="4" t="s">
        <v>20</v>
      </c>
      <c r="B12" s="4" t="s">
        <v>11</v>
      </c>
      <c r="C12" s="4" t="s">
        <v>12</v>
      </c>
      <c r="D12" s="27" t="s">
        <v>40</v>
      </c>
    </row>
    <row r="13" spans="1:5" x14ac:dyDescent="0.25">
      <c r="A13" s="7" t="s">
        <v>13</v>
      </c>
      <c r="B13" s="7">
        <v>35</v>
      </c>
      <c r="C13" s="7">
        <v>65</v>
      </c>
    </row>
    <row r="14" spans="1:5" x14ac:dyDescent="0.25">
      <c r="A14" s="2" t="s">
        <v>14</v>
      </c>
      <c r="B14" s="2">
        <v>23</v>
      </c>
      <c r="C14" s="2">
        <v>78</v>
      </c>
    </row>
    <row r="15" spans="1:5" x14ac:dyDescent="0.25">
      <c r="A15" s="2" t="s">
        <v>15</v>
      </c>
      <c r="B15" s="2">
        <v>12</v>
      </c>
      <c r="C15" s="2">
        <v>10</v>
      </c>
    </row>
    <row r="16" spans="1:5" x14ac:dyDescent="0.25">
      <c r="A16" s="2" t="s">
        <v>16</v>
      </c>
      <c r="B16" s="2">
        <v>38</v>
      </c>
      <c r="C16" s="2">
        <v>46</v>
      </c>
    </row>
    <row r="17" spans="1:5" x14ac:dyDescent="0.25">
      <c r="A17" s="2" t="s">
        <v>17</v>
      </c>
      <c r="B17" s="2">
        <v>43</v>
      </c>
      <c r="C17" s="2">
        <v>63</v>
      </c>
    </row>
    <row r="18" spans="1:5" x14ac:dyDescent="0.25">
      <c r="A18" s="2" t="s">
        <v>18</v>
      </c>
      <c r="B18" s="2">
        <v>16</v>
      </c>
      <c r="C18" s="2">
        <v>32</v>
      </c>
    </row>
    <row r="19" spans="1:5" ht="15.75" thickBot="1" x14ac:dyDescent="0.3">
      <c r="A19" s="8" t="s">
        <v>19</v>
      </c>
      <c r="B19" s="8">
        <v>57</v>
      </c>
      <c r="C19" s="8">
        <v>50</v>
      </c>
    </row>
    <row r="22" spans="1:5" ht="15.75" thickBot="1" x14ac:dyDescent="0.3"/>
    <row r="23" spans="1:5" ht="15.75" thickBot="1" x14ac:dyDescent="0.3">
      <c r="A23" s="4" t="s">
        <v>21</v>
      </c>
      <c r="B23" s="4" t="s">
        <v>5</v>
      </c>
      <c r="C23" s="4" t="s">
        <v>11</v>
      </c>
      <c r="D23" s="4" t="s">
        <v>12</v>
      </c>
      <c r="E23" s="4" t="s">
        <v>43</v>
      </c>
    </row>
    <row r="24" spans="1:5" x14ac:dyDescent="0.25">
      <c r="A24" s="5" t="s">
        <v>2</v>
      </c>
      <c r="B24" s="1" t="s">
        <v>8</v>
      </c>
      <c r="C24" s="1">
        <v>32</v>
      </c>
      <c r="D24" s="1">
        <v>0</v>
      </c>
      <c r="E24" s="1">
        <f>C24</f>
        <v>32</v>
      </c>
    </row>
    <row r="25" spans="1:5" x14ac:dyDescent="0.25">
      <c r="A25" s="5" t="s">
        <v>0</v>
      </c>
      <c r="B25" s="2" t="s">
        <v>10</v>
      </c>
      <c r="C25" s="2">
        <v>70</v>
      </c>
      <c r="D25" s="2">
        <v>10</v>
      </c>
      <c r="E25" s="2">
        <f>C24+C25</f>
        <v>102</v>
      </c>
    </row>
    <row r="26" spans="1:5" x14ac:dyDescent="0.25">
      <c r="A26" s="5" t="s">
        <v>3</v>
      </c>
      <c r="B26" s="2" t="s">
        <v>7</v>
      </c>
      <c r="C26" s="2">
        <v>100</v>
      </c>
      <c r="D26" s="2">
        <v>15</v>
      </c>
      <c r="E26" s="2">
        <f>C26+E25</f>
        <v>202</v>
      </c>
    </row>
    <row r="27" spans="1:5" x14ac:dyDescent="0.25">
      <c r="A27" s="5" t="s">
        <v>1</v>
      </c>
      <c r="B27" s="2" t="s">
        <v>9</v>
      </c>
      <c r="C27" s="2">
        <v>25</v>
      </c>
      <c r="D27" s="2">
        <v>42</v>
      </c>
      <c r="E27" s="2">
        <f t="shared" ref="E27:E28" si="0">C27+E26</f>
        <v>227</v>
      </c>
    </row>
    <row r="28" spans="1:5" ht="15.75" thickBot="1" x14ac:dyDescent="0.3">
      <c r="A28" s="5" t="s">
        <v>4</v>
      </c>
      <c r="B28" s="3" t="s">
        <v>6</v>
      </c>
      <c r="C28" s="3">
        <v>15</v>
      </c>
      <c r="D28" s="3">
        <v>75</v>
      </c>
      <c r="E28" s="2">
        <f t="shared" si="0"/>
        <v>242</v>
      </c>
    </row>
    <row r="30" spans="1:5" ht="15.75" thickBot="1" x14ac:dyDescent="0.3"/>
    <row r="31" spans="1:5" ht="15.75" thickBot="1" x14ac:dyDescent="0.3">
      <c r="A31" s="4" t="s">
        <v>20</v>
      </c>
      <c r="B31" s="4" t="s">
        <v>11</v>
      </c>
      <c r="C31" s="4" t="s">
        <v>24</v>
      </c>
      <c r="D31" s="4" t="s">
        <v>42</v>
      </c>
    </row>
    <row r="32" spans="1:5" x14ac:dyDescent="0.25">
      <c r="A32" s="7" t="s">
        <v>14</v>
      </c>
      <c r="B32" s="7">
        <v>23</v>
      </c>
      <c r="C32" s="7">
        <v>78</v>
      </c>
      <c r="D32" s="7">
        <f>B32</f>
        <v>23</v>
      </c>
    </row>
    <row r="33" spans="1:4" x14ac:dyDescent="0.25">
      <c r="A33" s="2" t="s">
        <v>13</v>
      </c>
      <c r="B33" s="2">
        <v>35</v>
      </c>
      <c r="C33" s="2">
        <v>65</v>
      </c>
      <c r="D33" s="2">
        <f>B33+D32</f>
        <v>58</v>
      </c>
    </row>
    <row r="34" spans="1:4" x14ac:dyDescent="0.25">
      <c r="A34" s="2" t="s">
        <v>17</v>
      </c>
      <c r="B34" s="2">
        <v>43</v>
      </c>
      <c r="C34" s="2">
        <v>63</v>
      </c>
      <c r="D34" s="2">
        <f t="shared" ref="D34:D38" si="1">B34+D33</f>
        <v>101</v>
      </c>
    </row>
    <row r="35" spans="1:4" x14ac:dyDescent="0.25">
      <c r="A35" s="2" t="s">
        <v>19</v>
      </c>
      <c r="B35" s="2">
        <v>57</v>
      </c>
      <c r="C35" s="2">
        <v>50</v>
      </c>
      <c r="D35" s="2">
        <f t="shared" si="1"/>
        <v>158</v>
      </c>
    </row>
    <row r="36" spans="1:4" x14ac:dyDescent="0.25">
      <c r="A36" s="2" t="s">
        <v>16</v>
      </c>
      <c r="B36" s="2">
        <v>38</v>
      </c>
      <c r="C36" s="2">
        <v>46</v>
      </c>
      <c r="D36" s="2">
        <f t="shared" si="1"/>
        <v>196</v>
      </c>
    </row>
    <row r="37" spans="1:4" x14ac:dyDescent="0.25">
      <c r="A37" s="2" t="s">
        <v>18</v>
      </c>
      <c r="B37" s="2">
        <v>16</v>
      </c>
      <c r="C37" s="2">
        <v>32</v>
      </c>
      <c r="D37" s="2">
        <f t="shared" si="1"/>
        <v>212</v>
      </c>
    </row>
    <row r="38" spans="1:4" ht="15.75" thickBot="1" x14ac:dyDescent="0.3">
      <c r="A38" s="8" t="s">
        <v>15</v>
      </c>
      <c r="B38" s="8">
        <v>12</v>
      </c>
      <c r="C38" s="8">
        <v>10</v>
      </c>
      <c r="D38" s="2">
        <f t="shared" si="1"/>
        <v>224</v>
      </c>
    </row>
    <row r="40" spans="1:4" ht="15.75" thickBot="1" x14ac:dyDescent="0.3"/>
    <row r="41" spans="1:4" ht="15.75" thickBot="1" x14ac:dyDescent="0.3">
      <c r="A41" s="38" t="s">
        <v>22</v>
      </c>
      <c r="B41" s="39"/>
      <c r="C41" s="40"/>
    </row>
    <row r="42" spans="1:4" ht="15.75" thickBot="1" x14ac:dyDescent="0.3">
      <c r="A42" s="9"/>
      <c r="B42" s="4" t="s">
        <v>25</v>
      </c>
      <c r="C42" s="4" t="s">
        <v>26</v>
      </c>
    </row>
    <row r="43" spans="1:4" x14ac:dyDescent="0.25">
      <c r="A43" s="13" t="s">
        <v>8</v>
      </c>
      <c r="B43" s="10">
        <v>0</v>
      </c>
      <c r="C43" s="7">
        <v>0</v>
      </c>
    </row>
    <row r="44" spans="1:4" x14ac:dyDescent="0.25">
      <c r="A44" s="5" t="s">
        <v>8</v>
      </c>
      <c r="B44" s="11">
        <v>32</v>
      </c>
      <c r="C44" s="2">
        <v>0</v>
      </c>
    </row>
    <row r="45" spans="1:4" x14ac:dyDescent="0.25">
      <c r="A45" s="5" t="s">
        <v>10</v>
      </c>
      <c r="B45" s="11">
        <v>32</v>
      </c>
      <c r="C45" s="2">
        <v>10</v>
      </c>
    </row>
    <row r="46" spans="1:4" x14ac:dyDescent="0.25">
      <c r="A46" s="5" t="s">
        <v>10</v>
      </c>
      <c r="B46" s="11">
        <v>102</v>
      </c>
      <c r="C46" s="2">
        <v>10</v>
      </c>
    </row>
    <row r="47" spans="1:4" x14ac:dyDescent="0.25">
      <c r="A47" s="5" t="s">
        <v>7</v>
      </c>
      <c r="B47" s="11">
        <v>102</v>
      </c>
      <c r="C47" s="2">
        <v>15</v>
      </c>
    </row>
    <row r="48" spans="1:4" x14ac:dyDescent="0.25">
      <c r="A48" s="5" t="s">
        <v>7</v>
      </c>
      <c r="B48" s="11">
        <v>202</v>
      </c>
      <c r="C48" s="2">
        <v>15</v>
      </c>
    </row>
    <row r="49" spans="1:3" x14ac:dyDescent="0.25">
      <c r="A49" s="5" t="s">
        <v>9</v>
      </c>
      <c r="B49" s="11">
        <v>202</v>
      </c>
      <c r="C49" s="2">
        <v>42</v>
      </c>
    </row>
    <row r="50" spans="1:3" x14ac:dyDescent="0.25">
      <c r="A50" s="5" t="s">
        <v>9</v>
      </c>
      <c r="B50" s="11">
        <v>227</v>
      </c>
      <c r="C50" s="2">
        <v>42</v>
      </c>
    </row>
    <row r="51" spans="1:3" x14ac:dyDescent="0.25">
      <c r="A51" s="5" t="s">
        <v>6</v>
      </c>
      <c r="B51" s="11">
        <v>227</v>
      </c>
      <c r="C51" s="2">
        <v>75</v>
      </c>
    </row>
    <row r="52" spans="1:3" x14ac:dyDescent="0.25">
      <c r="A52" s="5" t="s">
        <v>6</v>
      </c>
      <c r="B52" s="11">
        <v>242</v>
      </c>
      <c r="C52" s="2">
        <v>75</v>
      </c>
    </row>
    <row r="53" spans="1:3" x14ac:dyDescent="0.25">
      <c r="A53" s="5"/>
      <c r="B53" s="11"/>
      <c r="C53" s="2"/>
    </row>
    <row r="54" spans="1:3" x14ac:dyDescent="0.25">
      <c r="A54" s="5"/>
      <c r="B54" s="11"/>
      <c r="C54" s="2"/>
    </row>
    <row r="55" spans="1:3" ht="15.75" thickBot="1" x14ac:dyDescent="0.3">
      <c r="A55" s="6"/>
      <c r="B55" s="12"/>
      <c r="C55" s="3"/>
    </row>
    <row r="57" spans="1:3" ht="15.75" thickBot="1" x14ac:dyDescent="0.3"/>
    <row r="58" spans="1:3" ht="15.75" thickBot="1" x14ac:dyDescent="0.3">
      <c r="A58" s="38" t="s">
        <v>27</v>
      </c>
      <c r="B58" s="39"/>
      <c r="C58" s="40"/>
    </row>
    <row r="59" spans="1:3" ht="15.75" thickBot="1" x14ac:dyDescent="0.3">
      <c r="A59" s="9"/>
      <c r="B59" s="29" t="s">
        <v>25</v>
      </c>
      <c r="C59" s="29" t="s">
        <v>24</v>
      </c>
    </row>
    <row r="60" spans="1:3" x14ac:dyDescent="0.25">
      <c r="A60" s="28"/>
      <c r="B60" s="30">
        <v>0</v>
      </c>
      <c r="C60" s="30">
        <v>78</v>
      </c>
    </row>
    <row r="61" spans="1:3" x14ac:dyDescent="0.25">
      <c r="A61" s="14"/>
      <c r="B61" s="18">
        <v>23</v>
      </c>
      <c r="C61" s="1">
        <v>78</v>
      </c>
    </row>
    <row r="62" spans="1:3" x14ac:dyDescent="0.25">
      <c r="A62" s="14"/>
      <c r="B62" s="11">
        <v>23</v>
      </c>
      <c r="C62" s="2">
        <v>65</v>
      </c>
    </row>
    <row r="63" spans="1:3" x14ac:dyDescent="0.25">
      <c r="A63" s="14"/>
      <c r="B63" s="11">
        <v>58</v>
      </c>
      <c r="C63" s="2">
        <v>65</v>
      </c>
    </row>
    <row r="64" spans="1:3" x14ac:dyDescent="0.25">
      <c r="A64" s="14"/>
      <c r="B64" s="11">
        <v>58</v>
      </c>
      <c r="C64" s="2">
        <v>63</v>
      </c>
    </row>
    <row r="65" spans="1:6" x14ac:dyDescent="0.25">
      <c r="A65" s="14"/>
      <c r="B65" s="11">
        <v>101</v>
      </c>
      <c r="C65" s="2">
        <v>63</v>
      </c>
    </row>
    <row r="66" spans="1:6" x14ac:dyDescent="0.25">
      <c r="A66" s="14"/>
      <c r="B66" s="11">
        <v>101</v>
      </c>
      <c r="C66" s="2">
        <v>50</v>
      </c>
    </row>
    <row r="67" spans="1:6" x14ac:dyDescent="0.25">
      <c r="A67" s="14"/>
      <c r="B67" s="11">
        <v>158</v>
      </c>
      <c r="C67" s="2">
        <v>50</v>
      </c>
    </row>
    <row r="68" spans="1:6" x14ac:dyDescent="0.25">
      <c r="A68" s="14"/>
      <c r="B68" s="11">
        <v>158</v>
      </c>
      <c r="C68" s="2">
        <v>46</v>
      </c>
    </row>
    <row r="69" spans="1:6" x14ac:dyDescent="0.25">
      <c r="A69" s="14"/>
      <c r="B69" s="11">
        <v>196</v>
      </c>
      <c r="C69" s="2">
        <v>46</v>
      </c>
    </row>
    <row r="70" spans="1:6" x14ac:dyDescent="0.25">
      <c r="A70" s="14"/>
      <c r="B70" s="11">
        <v>196</v>
      </c>
      <c r="C70" s="2">
        <v>32</v>
      </c>
    </row>
    <row r="71" spans="1:6" x14ac:dyDescent="0.25">
      <c r="A71" s="14"/>
      <c r="B71" s="11">
        <v>212</v>
      </c>
      <c r="C71" s="2">
        <v>32</v>
      </c>
    </row>
    <row r="72" spans="1:6" x14ac:dyDescent="0.25">
      <c r="A72" s="14"/>
      <c r="B72" s="11">
        <v>212</v>
      </c>
      <c r="C72" s="2">
        <v>10</v>
      </c>
    </row>
    <row r="73" spans="1:6" x14ac:dyDescent="0.25">
      <c r="A73" s="14"/>
      <c r="B73" s="11">
        <v>224</v>
      </c>
      <c r="C73" s="2">
        <v>10</v>
      </c>
    </row>
    <row r="74" spans="1:6" ht="15.75" thickBot="1" x14ac:dyDescent="0.3">
      <c r="A74" s="15" t="s">
        <v>23</v>
      </c>
      <c r="B74" s="12">
        <v>224</v>
      </c>
      <c r="C74" s="3">
        <v>0</v>
      </c>
    </row>
    <row r="77" spans="1:6" ht="15.75" thickBot="1" x14ac:dyDescent="0.3"/>
    <row r="78" spans="1:6" ht="15.75" thickBot="1" x14ac:dyDescent="0.3">
      <c r="A78" s="16" t="s">
        <v>28</v>
      </c>
    </row>
    <row r="79" spans="1:6" ht="15.75" thickBot="1" x14ac:dyDescent="0.3">
      <c r="A79" s="17"/>
      <c r="B79" s="20" t="s">
        <v>33</v>
      </c>
      <c r="C79" s="21" t="s">
        <v>30</v>
      </c>
      <c r="D79" s="20" t="s">
        <v>34</v>
      </c>
      <c r="E79" s="21" t="s">
        <v>31</v>
      </c>
      <c r="F79" s="20" t="s">
        <v>32</v>
      </c>
    </row>
    <row r="80" spans="1:6" x14ac:dyDescent="0.25">
      <c r="A80" s="25" t="s">
        <v>8</v>
      </c>
      <c r="B80" s="1">
        <v>32</v>
      </c>
      <c r="C80" s="18">
        <v>0</v>
      </c>
      <c r="D80" s="1">
        <v>32</v>
      </c>
      <c r="E80" s="18">
        <v>32</v>
      </c>
      <c r="F80" s="1">
        <f>(E80-C80)*B80</f>
        <v>1024</v>
      </c>
    </row>
    <row r="81" spans="1:7" x14ac:dyDescent="0.25">
      <c r="A81" s="26" t="s">
        <v>10</v>
      </c>
      <c r="B81" s="2">
        <v>70</v>
      </c>
      <c r="C81" s="11">
        <v>10</v>
      </c>
      <c r="D81" s="2">
        <v>70</v>
      </c>
      <c r="E81" s="22">
        <v>32</v>
      </c>
      <c r="F81" s="1">
        <f t="shared" ref="F81:F82" si="2">(E81-C81)*B81</f>
        <v>1540</v>
      </c>
    </row>
    <row r="82" spans="1:7" ht="15.75" thickBot="1" x14ac:dyDescent="0.3">
      <c r="A82" s="24" t="s">
        <v>7</v>
      </c>
      <c r="B82" s="3">
        <v>100</v>
      </c>
      <c r="C82" s="12">
        <v>15</v>
      </c>
      <c r="D82" s="3">
        <v>100</v>
      </c>
      <c r="E82" s="23">
        <v>32</v>
      </c>
      <c r="F82" s="1">
        <f t="shared" si="2"/>
        <v>1700</v>
      </c>
    </row>
    <row r="83" spans="1:7" ht="15.75" thickBot="1" x14ac:dyDescent="0.3">
      <c r="B83" s="37">
        <f>SUM(B80:B82)</f>
        <v>202</v>
      </c>
      <c r="F83" s="19">
        <f>SUM(F80:F82)</f>
        <v>4264</v>
      </c>
      <c r="G83" s="19" t="s">
        <v>29</v>
      </c>
    </row>
    <row r="85" spans="1:7" ht="15.75" thickBot="1" x14ac:dyDescent="0.3"/>
    <row r="86" spans="1:7" ht="15.75" thickBot="1" x14ac:dyDescent="0.3">
      <c r="A86" s="16" t="s">
        <v>28</v>
      </c>
    </row>
    <row r="87" spans="1:7" ht="15.75" thickBot="1" x14ac:dyDescent="0.3">
      <c r="A87" s="17"/>
      <c r="B87" s="20" t="s">
        <v>33</v>
      </c>
      <c r="C87" s="21" t="s">
        <v>30</v>
      </c>
      <c r="D87" s="20" t="s">
        <v>35</v>
      </c>
      <c r="E87" s="35" t="s">
        <v>31</v>
      </c>
      <c r="F87" s="20" t="s">
        <v>32</v>
      </c>
    </row>
    <row r="88" spans="1:7" ht="15.75" thickBot="1" x14ac:dyDescent="0.3">
      <c r="A88" s="24" t="s">
        <v>14</v>
      </c>
      <c r="B88" s="1">
        <v>23</v>
      </c>
      <c r="C88" s="18">
        <v>78</v>
      </c>
      <c r="D88" s="31">
        <v>23</v>
      </c>
      <c r="E88" s="36">
        <v>32</v>
      </c>
      <c r="F88" s="34">
        <f>(C88-E88)*B88</f>
        <v>1058</v>
      </c>
    </row>
    <row r="89" spans="1:7" ht="15.75" thickBot="1" x14ac:dyDescent="0.3">
      <c r="A89" s="24" t="s">
        <v>13</v>
      </c>
      <c r="B89" s="2">
        <v>35</v>
      </c>
      <c r="C89" s="11">
        <v>65</v>
      </c>
      <c r="D89" s="32">
        <v>35</v>
      </c>
      <c r="E89" s="36">
        <v>32</v>
      </c>
      <c r="F89" s="34">
        <f t="shared" ref="F89:F92" si="3">(C89-E89)*B89</f>
        <v>1155</v>
      </c>
    </row>
    <row r="90" spans="1:7" ht="15.75" thickBot="1" x14ac:dyDescent="0.3">
      <c r="A90" s="24" t="s">
        <v>17</v>
      </c>
      <c r="B90" s="2">
        <v>43</v>
      </c>
      <c r="C90" s="11">
        <v>63</v>
      </c>
      <c r="D90" s="32">
        <v>43</v>
      </c>
      <c r="E90" s="36">
        <v>32</v>
      </c>
      <c r="F90" s="34">
        <f t="shared" si="3"/>
        <v>1333</v>
      </c>
    </row>
    <row r="91" spans="1:7" ht="15.75" thickBot="1" x14ac:dyDescent="0.3">
      <c r="A91" s="24" t="s">
        <v>19</v>
      </c>
      <c r="B91" s="2">
        <v>57</v>
      </c>
      <c r="C91" s="11">
        <v>50</v>
      </c>
      <c r="D91" s="32">
        <v>57</v>
      </c>
      <c r="E91" s="36">
        <v>32</v>
      </c>
      <c r="F91" s="34">
        <f t="shared" si="3"/>
        <v>1026</v>
      </c>
    </row>
    <row r="92" spans="1:7" ht="15.75" thickBot="1" x14ac:dyDescent="0.3">
      <c r="A92" s="24" t="s">
        <v>16</v>
      </c>
      <c r="B92" s="2">
        <v>38</v>
      </c>
      <c r="C92" s="11">
        <v>46</v>
      </c>
      <c r="D92" s="32">
        <v>38</v>
      </c>
      <c r="E92" s="36">
        <v>32</v>
      </c>
      <c r="F92" s="34">
        <f t="shared" si="3"/>
        <v>532</v>
      </c>
    </row>
    <row r="93" spans="1:7" ht="15.75" thickBot="1" x14ac:dyDescent="0.3">
      <c r="A93" s="24" t="s">
        <v>44</v>
      </c>
      <c r="B93" s="3">
        <v>16</v>
      </c>
      <c r="C93" s="12">
        <v>32</v>
      </c>
      <c r="D93" s="33">
        <v>6</v>
      </c>
      <c r="E93" s="36">
        <v>32</v>
      </c>
      <c r="F93" s="34">
        <f>(C93-E93)*B93</f>
        <v>0</v>
      </c>
    </row>
    <row r="94" spans="1:7" ht="15.75" thickBot="1" x14ac:dyDescent="0.3">
      <c r="D94" s="37">
        <f>SUM(D88:D93)</f>
        <v>202</v>
      </c>
      <c r="F94" s="19">
        <f>SUM(F88:F93)</f>
        <v>5104</v>
      </c>
      <c r="G94" s="19" t="s">
        <v>29</v>
      </c>
    </row>
  </sheetData>
  <mergeCells count="2">
    <mergeCell ref="A41:C41"/>
    <mergeCell ref="A58:C5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5"/>
  <sheetViews>
    <sheetView tabSelected="1" topLeftCell="A6" zoomScale="81" workbookViewId="0">
      <selection activeCell="H39" sqref="H39"/>
    </sheetView>
  </sheetViews>
  <sheetFormatPr defaultColWidth="10.85546875" defaultRowHeight="15" x14ac:dyDescent="0.25"/>
  <cols>
    <col min="1" max="1" width="20.140625" customWidth="1"/>
    <col min="2" max="2" width="18.42578125" customWidth="1"/>
    <col min="3" max="3" width="24" bestFit="1" customWidth="1"/>
    <col min="4" max="4" width="11.140625" bestFit="1" customWidth="1"/>
    <col min="5" max="5" width="26.5703125" bestFit="1" customWidth="1"/>
    <col min="6" max="6" width="19.85546875" customWidth="1"/>
    <col min="7" max="7" width="21.85546875" customWidth="1"/>
    <col min="15" max="15" width="10.85546875" customWidth="1"/>
    <col min="16" max="16" width="15" bestFit="1" customWidth="1"/>
    <col min="17" max="17" width="23.5703125" bestFit="1" customWidth="1"/>
    <col min="18" max="21" width="10.85546875" customWidth="1"/>
  </cols>
  <sheetData>
    <row r="2" spans="1:7" ht="15.75" thickBot="1" x14ac:dyDescent="0.3"/>
    <row r="3" spans="1:7" ht="15.75" thickBot="1" x14ac:dyDescent="0.3">
      <c r="A3" s="4" t="s">
        <v>21</v>
      </c>
      <c r="B3" s="4" t="s">
        <v>5</v>
      </c>
      <c r="C3" s="4" t="s">
        <v>38</v>
      </c>
      <c r="D3" s="4" t="s">
        <v>36</v>
      </c>
      <c r="E3" s="4" t="s">
        <v>37</v>
      </c>
      <c r="F3" s="4" t="s">
        <v>39</v>
      </c>
    </row>
    <row r="4" spans="1:7" x14ac:dyDescent="0.25">
      <c r="A4" s="5" t="s">
        <v>4</v>
      </c>
      <c r="B4" s="1" t="s">
        <v>6</v>
      </c>
      <c r="C4" s="1">
        <v>15</v>
      </c>
      <c r="D4" s="1">
        <v>80</v>
      </c>
      <c r="E4" s="1" t="s">
        <v>23</v>
      </c>
      <c r="F4" s="1" t="s">
        <v>23</v>
      </c>
    </row>
    <row r="5" spans="1:7" x14ac:dyDescent="0.25">
      <c r="A5" s="5" t="s">
        <v>1</v>
      </c>
      <c r="B5" s="2" t="s">
        <v>9</v>
      </c>
      <c r="C5" s="2">
        <v>5</v>
      </c>
      <c r="D5" s="2">
        <v>50</v>
      </c>
      <c r="E5" s="2">
        <v>15</v>
      </c>
      <c r="F5" s="2">
        <v>15</v>
      </c>
    </row>
    <row r="6" spans="1:7" ht="15.75" thickBot="1" x14ac:dyDescent="0.3">
      <c r="A6" s="6" t="s">
        <v>0</v>
      </c>
      <c r="B6" s="3" t="s">
        <v>10</v>
      </c>
      <c r="C6" s="3">
        <v>20</v>
      </c>
      <c r="D6" s="3">
        <v>35</v>
      </c>
      <c r="E6" s="3">
        <v>20</v>
      </c>
      <c r="F6" s="3">
        <v>5</v>
      </c>
    </row>
    <row r="7" spans="1:7" ht="15.75" thickBot="1" x14ac:dyDescent="0.3"/>
    <row r="8" spans="1:7" ht="15.75" thickBot="1" x14ac:dyDescent="0.3">
      <c r="A8" s="4" t="s">
        <v>21</v>
      </c>
      <c r="B8" s="4" t="s">
        <v>5</v>
      </c>
      <c r="C8" s="4" t="s">
        <v>38</v>
      </c>
      <c r="D8" s="4" t="s">
        <v>36</v>
      </c>
      <c r="E8" s="4" t="s">
        <v>37</v>
      </c>
      <c r="F8" s="4" t="s">
        <v>39</v>
      </c>
      <c r="G8" s="4" t="s">
        <v>45</v>
      </c>
    </row>
    <row r="9" spans="1:7" x14ac:dyDescent="0.25">
      <c r="A9" s="5" t="s">
        <v>0</v>
      </c>
      <c r="B9" s="1" t="s">
        <v>10</v>
      </c>
      <c r="C9" s="1">
        <v>20</v>
      </c>
      <c r="D9" s="1">
        <v>35</v>
      </c>
      <c r="E9" s="1">
        <v>20</v>
      </c>
      <c r="F9" s="1">
        <v>5</v>
      </c>
      <c r="G9" s="7">
        <v>20</v>
      </c>
    </row>
    <row r="10" spans="1:7" x14ac:dyDescent="0.25">
      <c r="A10" s="5" t="s">
        <v>1</v>
      </c>
      <c r="B10" s="2" t="s">
        <v>9</v>
      </c>
      <c r="C10" s="2">
        <v>5</v>
      </c>
      <c r="D10" s="2">
        <v>50</v>
      </c>
      <c r="E10" s="2">
        <v>15</v>
      </c>
      <c r="F10" s="2">
        <v>15</v>
      </c>
      <c r="G10" s="2">
        <v>25</v>
      </c>
    </row>
    <row r="11" spans="1:7" ht="15.75" thickBot="1" x14ac:dyDescent="0.3">
      <c r="A11" s="6" t="s">
        <v>4</v>
      </c>
      <c r="B11" s="3" t="s">
        <v>6</v>
      </c>
      <c r="C11" s="3">
        <v>15</v>
      </c>
      <c r="D11" s="3">
        <v>80</v>
      </c>
      <c r="E11" s="3" t="s">
        <v>23</v>
      </c>
      <c r="F11" s="3" t="s">
        <v>23</v>
      </c>
      <c r="G11" s="44">
        <v>40</v>
      </c>
    </row>
    <row r="12" spans="1:7" ht="15.75" thickBot="1" x14ac:dyDescent="0.3"/>
    <row r="13" spans="1:7" ht="15.75" thickBot="1" x14ac:dyDescent="0.3">
      <c r="A13" s="38" t="s">
        <v>22</v>
      </c>
      <c r="B13" s="39"/>
      <c r="C13" s="40"/>
    </row>
    <row r="14" spans="1:7" ht="15.75" thickBot="1" x14ac:dyDescent="0.3">
      <c r="A14" s="9"/>
      <c r="B14" s="4" t="s">
        <v>25</v>
      </c>
      <c r="C14" s="4" t="s">
        <v>26</v>
      </c>
    </row>
    <row r="15" spans="1:7" x14ac:dyDescent="0.25">
      <c r="A15" s="13"/>
      <c r="B15" s="10">
        <v>0</v>
      </c>
      <c r="C15" s="7">
        <v>35</v>
      </c>
    </row>
    <row r="16" spans="1:7" x14ac:dyDescent="0.25">
      <c r="A16" s="5"/>
      <c r="B16" s="11">
        <v>20</v>
      </c>
      <c r="C16" s="2">
        <v>35</v>
      </c>
    </row>
    <row r="17" spans="1:3" x14ac:dyDescent="0.25">
      <c r="A17" s="5"/>
      <c r="B17" s="11">
        <v>20</v>
      </c>
      <c r="C17" s="2">
        <v>50</v>
      </c>
    </row>
    <row r="18" spans="1:3" x14ac:dyDescent="0.25">
      <c r="A18" s="5"/>
      <c r="B18" s="11">
        <v>25</v>
      </c>
      <c r="C18" s="2">
        <v>50</v>
      </c>
    </row>
    <row r="19" spans="1:3" x14ac:dyDescent="0.25">
      <c r="A19" s="5"/>
      <c r="B19" s="11">
        <v>25</v>
      </c>
      <c r="C19" s="2">
        <v>80</v>
      </c>
    </row>
    <row r="20" spans="1:3" x14ac:dyDescent="0.25">
      <c r="A20" s="5"/>
      <c r="B20" s="11">
        <v>40</v>
      </c>
      <c r="C20" s="2">
        <v>80</v>
      </c>
    </row>
    <row r="21" spans="1:3" x14ac:dyDescent="0.25">
      <c r="A21" s="41" t="s">
        <v>27</v>
      </c>
      <c r="B21" s="42"/>
      <c r="C21" s="43"/>
    </row>
    <row r="22" spans="1:3" x14ac:dyDescent="0.25">
      <c r="A22" s="5" t="s">
        <v>3</v>
      </c>
      <c r="B22" s="11">
        <v>0</v>
      </c>
      <c r="C22" s="2">
        <v>22</v>
      </c>
    </row>
    <row r="23" spans="1:3" x14ac:dyDescent="0.25">
      <c r="A23" s="5" t="s">
        <v>3</v>
      </c>
      <c r="B23" s="11">
        <v>90</v>
      </c>
      <c r="C23" s="2">
        <v>22</v>
      </c>
    </row>
    <row r="24" spans="1:3" x14ac:dyDescent="0.25">
      <c r="A24" s="5"/>
      <c r="B24" s="11"/>
      <c r="C24" s="2"/>
    </row>
    <row r="25" spans="1:3" x14ac:dyDescent="0.25">
      <c r="A25" s="5"/>
      <c r="B25" s="11"/>
      <c r="C25" s="2"/>
    </row>
  </sheetData>
  <mergeCells count="2">
    <mergeCell ref="A13:C13"/>
    <mergeCell ref="A21:C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5903d8-ee31-4940-962a-24bfc16d885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205B217F3ACD4DA129D5BC642B843D" ma:contentTypeVersion="5" ma:contentTypeDescription="Crée un document." ma:contentTypeScope="" ma:versionID="f36450b455bdd61633c33f8db85f4d69">
  <xsd:schema xmlns:xsd="http://www.w3.org/2001/XMLSchema" xmlns:xs="http://www.w3.org/2001/XMLSchema" xmlns:p="http://schemas.microsoft.com/office/2006/metadata/properties" xmlns:ns3="cf5903d8-ee31-4940-962a-24bfc16d8852" targetNamespace="http://schemas.microsoft.com/office/2006/metadata/properties" ma:root="true" ma:fieldsID="0a50019578b16851fb826e6bf3d0efdf" ns3:_="">
    <xsd:import namespace="cf5903d8-ee31-4940-962a-24bfc16d885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5903d8-ee31-4940-962a-24bfc16d885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73EA12-9C8A-42DD-ACF0-C4EE124FEF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EF875-B0D8-49AB-95A2-0BD418979530}">
  <ds:schemaRefs>
    <ds:schemaRef ds:uri="http://purl.org/dc/dcmitype/"/>
    <ds:schemaRef ds:uri="http://purl.org/dc/elements/1.1/"/>
    <ds:schemaRef ds:uri="cf5903d8-ee31-4940-962a-24bfc16d8852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9013F3B-A63F-4CB9-B89C-37AFB7590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5903d8-ee31-4940-962a-24bfc16d88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Day-Ahead</vt:lpstr>
      <vt:lpstr>Balancing market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OIR</dc:creator>
  <cp:lastModifiedBy>Eddy Rambim</cp:lastModifiedBy>
  <dcterms:created xsi:type="dcterms:W3CDTF">2020-10-11T18:21:38Z</dcterms:created>
  <dcterms:modified xsi:type="dcterms:W3CDTF">2026-01-31T22:36:14Z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0x01010062205B217F3ACD4DA129D5BC642B843D</vt:lpwstr>
  </property>
</Properties>
</file>