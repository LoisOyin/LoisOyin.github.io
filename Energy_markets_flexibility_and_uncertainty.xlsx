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NSYS 2.0\DENSYS COURSE\Electives\Energy Economics\Lesson 2\"/>
    </mc:Choice>
  </mc:AlternateContent>
  <xr:revisionPtr revIDLastSave="0" documentId="13_ncr:1_{8E618C38-2F02-449D-A0F8-2450C17ED1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rtA" sheetId="1" r:id="rId1"/>
    <sheet name="PartB" sheetId="2" r:id="rId2"/>
    <sheet name="Part C" sheetId="4" r:id="rId3"/>
  </sheets>
  <definedNames>
    <definedName name="solver_adj" localSheetId="0" hidden="1">PartA!#REF!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itr" localSheetId="0" hidden="1">2147483647</definedName>
    <definedName name="solver_lhs1" localSheetId="0" hidden="1">PartA!#REF!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opt" localSheetId="0" hidden="1">PartA!$N$32</definedName>
    <definedName name="solver_opt" localSheetId="1" hidden="1">PartB!$K$8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162.15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typ" localSheetId="1" hidden="1">1</definedName>
    <definedName name="solver_val" localSheetId="0" hidden="1">162.15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4" l="1"/>
  <c r="D35" i="4"/>
  <c r="E23" i="1"/>
  <c r="D23" i="1"/>
  <c r="C23" i="1"/>
  <c r="E12" i="1"/>
  <c r="D12" i="1"/>
  <c r="C12" i="1"/>
  <c r="C2" i="2"/>
  <c r="C23" i="2" s="1"/>
  <c r="H31" i="4"/>
  <c r="S3" i="4" s="1"/>
  <c r="H30" i="4"/>
  <c r="H29" i="4"/>
  <c r="H28" i="4"/>
  <c r="O3" i="4" s="1"/>
  <c r="H27" i="4"/>
  <c r="H26" i="4"/>
  <c r="H31" i="2"/>
  <c r="S3" i="2" s="1"/>
  <c r="H30" i="2"/>
  <c r="H29" i="2"/>
  <c r="H28" i="2"/>
  <c r="O3" i="2" s="1"/>
  <c r="H27" i="2"/>
  <c r="H26" i="2"/>
  <c r="E2" i="2"/>
  <c r="E23" i="2" s="1"/>
  <c r="D2" i="2"/>
  <c r="D23" i="2" s="1"/>
  <c r="E2" i="4"/>
  <c r="D2" i="4"/>
  <c r="C2" i="4"/>
  <c r="C19" i="4" s="1"/>
  <c r="D18" i="4" l="1"/>
  <c r="D19" i="4" s="1"/>
  <c r="E18" i="4" s="1"/>
  <c r="C12" i="4"/>
  <c r="C23" i="4"/>
  <c r="B13" i="1"/>
  <c r="O25" i="4"/>
  <c r="O4" i="4" s="1"/>
  <c r="S25" i="4"/>
  <c r="S4" i="4" s="1"/>
  <c r="S23" i="4"/>
  <c r="T23" i="4" s="1"/>
  <c r="O26" i="2"/>
  <c r="O4" i="2" s="1"/>
  <c r="P3" i="2" s="1"/>
  <c r="O23" i="4"/>
  <c r="P23" i="4" s="1"/>
  <c r="B24" i="2"/>
  <c r="E12" i="4"/>
  <c r="D12" i="4"/>
  <c r="B24" i="1"/>
  <c r="D12" i="2"/>
  <c r="S26" i="2"/>
  <c r="S4" i="2" s="1"/>
  <c r="T3" i="2" s="1"/>
  <c r="C12" i="2"/>
  <c r="E12" i="2"/>
  <c r="E23" i="4" l="1"/>
  <c r="D23" i="4"/>
  <c r="S5" i="4"/>
  <c r="T3" i="4"/>
  <c r="P3" i="4"/>
  <c r="O5" i="4"/>
  <c r="P4" i="4" s="1"/>
  <c r="B13" i="4"/>
  <c r="I3" i="4" s="1"/>
  <c r="S5" i="2"/>
  <c r="T4" i="2" s="1"/>
  <c r="O5" i="2"/>
  <c r="B13" i="2"/>
  <c r="I3" i="2" s="1"/>
  <c r="L3" i="2"/>
  <c r="B24" i="4" l="1"/>
  <c r="L3" i="4" s="1"/>
  <c r="S6" i="4"/>
  <c r="T5" i="4" s="1"/>
  <c r="T4" i="4"/>
  <c r="O6" i="4"/>
  <c r="P5" i="4" s="1"/>
  <c r="S6" i="2"/>
  <c r="T5" i="2" s="1"/>
  <c r="O6" i="2"/>
  <c r="P5" i="2" s="1"/>
  <c r="P4" i="2"/>
  <c r="S7" i="4" l="1"/>
  <c r="T6" i="4" s="1"/>
  <c r="O7" i="4"/>
  <c r="P6" i="4" s="1"/>
  <c r="S7" i="2"/>
  <c r="T6" i="2" s="1"/>
  <c r="O7" i="2"/>
  <c r="P6" i="2" s="1"/>
  <c r="S8" i="4" l="1"/>
  <c r="T7" i="4" s="1"/>
  <c r="O8" i="4"/>
  <c r="P7" i="4" s="1"/>
  <c r="S8" i="2"/>
  <c r="T7" i="2" s="1"/>
  <c r="O8" i="2"/>
  <c r="P7" i="2" s="1"/>
  <c r="S9" i="4" l="1"/>
  <c r="T8" i="4" s="1"/>
  <c r="O9" i="4"/>
  <c r="P8" i="4" s="1"/>
  <c r="S9" i="2"/>
  <c r="T8" i="2" s="1"/>
  <c r="O9" i="2"/>
  <c r="P8" i="2" s="1"/>
  <c r="S10" i="4" l="1"/>
  <c r="T9" i="4" s="1"/>
  <c r="O10" i="4"/>
  <c r="P9" i="4" s="1"/>
  <c r="S10" i="2"/>
  <c r="T9" i="2" s="1"/>
  <c r="O10" i="2"/>
  <c r="P9" i="2" s="1"/>
  <c r="S11" i="4" l="1"/>
  <c r="T10" i="4" s="1"/>
  <c r="O11" i="4"/>
  <c r="P10" i="4" s="1"/>
  <c r="S11" i="2"/>
  <c r="T10" i="2" s="1"/>
  <c r="O11" i="2"/>
  <c r="P10" i="2" s="1"/>
  <c r="S12" i="4" l="1"/>
  <c r="T11" i="4" s="1"/>
  <c r="O12" i="4"/>
  <c r="P11" i="4" s="1"/>
  <c r="S12" i="2"/>
  <c r="T11" i="2" s="1"/>
  <c r="O12" i="2"/>
  <c r="P11" i="2" s="1"/>
  <c r="S13" i="4" l="1"/>
  <c r="T12" i="4" s="1"/>
  <c r="O13" i="4"/>
  <c r="P12" i="4" s="1"/>
  <c r="S13" i="2"/>
  <c r="T12" i="2" s="1"/>
  <c r="O13" i="2"/>
  <c r="P12" i="2" s="1"/>
  <c r="S14" i="4" l="1"/>
  <c r="T13" i="4" s="1"/>
  <c r="O14" i="4"/>
  <c r="P13" i="4" s="1"/>
  <c r="S14" i="2"/>
  <c r="T13" i="2" s="1"/>
  <c r="O14" i="2"/>
  <c r="P13" i="2" s="1"/>
  <c r="S15" i="4" l="1"/>
  <c r="T14" i="4" s="1"/>
  <c r="O15" i="4"/>
  <c r="P14" i="4" s="1"/>
  <c r="S15" i="2"/>
  <c r="T14" i="2" s="1"/>
  <c r="O15" i="2"/>
  <c r="P14" i="2" s="1"/>
  <c r="S16" i="4" l="1"/>
  <c r="T15" i="4" s="1"/>
  <c r="O16" i="4"/>
  <c r="P15" i="4" s="1"/>
  <c r="S16" i="2"/>
  <c r="T15" i="2" s="1"/>
  <c r="O16" i="2"/>
  <c r="P15" i="2" s="1"/>
  <c r="S17" i="4" l="1"/>
  <c r="T16" i="4" s="1"/>
  <c r="O17" i="4"/>
  <c r="P16" i="4" s="1"/>
  <c r="S17" i="2"/>
  <c r="T16" i="2" s="1"/>
  <c r="O17" i="2"/>
  <c r="P16" i="2" s="1"/>
  <c r="S18" i="4" l="1"/>
  <c r="T17" i="4" s="1"/>
  <c r="O18" i="4"/>
  <c r="P17" i="4" s="1"/>
  <c r="S18" i="2"/>
  <c r="T17" i="2" s="1"/>
  <c r="O18" i="2"/>
  <c r="P17" i="2" s="1"/>
  <c r="S19" i="4" l="1"/>
  <c r="T18" i="4" s="1"/>
  <c r="O19" i="4"/>
  <c r="P18" i="4" s="1"/>
  <c r="S19" i="2"/>
  <c r="T18" i="2" s="1"/>
  <c r="O19" i="2"/>
  <c r="P18" i="2" s="1"/>
  <c r="S20" i="4" l="1"/>
  <c r="T19" i="4" s="1"/>
  <c r="O20" i="4"/>
  <c r="P19" i="4" s="1"/>
  <c r="S20" i="2"/>
  <c r="T19" i="2" s="1"/>
  <c r="O20" i="2"/>
  <c r="P19" i="2" s="1"/>
  <c r="S21" i="4" l="1"/>
  <c r="T20" i="4" s="1"/>
  <c r="O21" i="4"/>
  <c r="P20" i="4" s="1"/>
  <c r="S21" i="2"/>
  <c r="T20" i="2" s="1"/>
  <c r="O21" i="2"/>
  <c r="P20" i="2" s="1"/>
  <c r="S22" i="4" l="1"/>
  <c r="O22" i="4"/>
  <c r="S22" i="2"/>
  <c r="T21" i="2" s="1"/>
  <c r="O22" i="2"/>
  <c r="P21" i="2" s="1"/>
  <c r="P22" i="4" l="1"/>
  <c r="P21" i="4"/>
  <c r="T22" i="4"/>
  <c r="T21" i="4"/>
  <c r="S23" i="2"/>
  <c r="O23" i="2"/>
  <c r="P23" i="2" l="1"/>
  <c r="P22" i="2"/>
  <c r="T23" i="2"/>
  <c r="T22" i="2"/>
</calcChain>
</file>

<file path=xl/sharedStrings.xml><?xml version="1.0" encoding="utf-8"?>
<sst xmlns="http://schemas.openxmlformats.org/spreadsheetml/2006/main" count="113" uniqueCount="31">
  <si>
    <t>Year</t>
  </si>
  <si>
    <t>Number of Production line</t>
  </si>
  <si>
    <t>Opex per unit ($)</t>
  </si>
  <si>
    <t>Capex total (M$)</t>
  </si>
  <si>
    <t>Production Capacity (M)</t>
  </si>
  <si>
    <t>Demand forecast (M)</t>
  </si>
  <si>
    <t>Salvage (M$)</t>
  </si>
  <si>
    <t>Discount rate (%)</t>
  </si>
  <si>
    <t>npv</t>
  </si>
  <si>
    <t>Unit selling price ($)</t>
  </si>
  <si>
    <t>pv (M)</t>
  </si>
  <si>
    <t>PLANA</t>
  </si>
  <si>
    <t>PLANB</t>
  </si>
  <si>
    <t>NPVA</t>
  </si>
  <si>
    <t>NPVB</t>
  </si>
  <si>
    <t>2000 Scenario</t>
  </si>
  <si>
    <t>Mean</t>
  </si>
  <si>
    <r>
      <t>NPV</t>
    </r>
    <r>
      <rPr>
        <b/>
        <i/>
        <vertAlign val="subscript"/>
        <sz val="10"/>
        <rFont val="Arial"/>
        <family val="2"/>
      </rPr>
      <t>A</t>
    </r>
  </si>
  <si>
    <t>Max</t>
  </si>
  <si>
    <t>Min</t>
  </si>
  <si>
    <r>
      <t>NPV</t>
    </r>
    <r>
      <rPr>
        <b/>
        <i/>
        <vertAlign val="subscript"/>
        <sz val="10"/>
        <rFont val="Arial"/>
        <family val="2"/>
      </rPr>
      <t>B</t>
    </r>
  </si>
  <si>
    <t>int</t>
  </si>
  <si>
    <t>Bounds</t>
  </si>
  <si>
    <t>Count</t>
  </si>
  <si>
    <t>NPVA Dist</t>
  </si>
  <si>
    <t>NPVB Dist</t>
  </si>
  <si>
    <t>Discount rate</t>
  </si>
  <si>
    <t>STD A</t>
  </si>
  <si>
    <t>STD B</t>
  </si>
  <si>
    <t>NPV Plan A</t>
  </si>
  <si>
    <t>NPV Plan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</si>
</sst>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#,##0.00\ [$€-1];\-#,##0.00\ [$€-1]"/>
    <numFmt numFmtId="166" formatCode="#,##0.00\ [$€-1]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1"/>
      <color rgb="FF44444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0" xfId="0" applyFill="1"/>
    <xf numFmtId="164" fontId="0" fillId="0" borderId="2" xfId="0" applyNumberFormat="1" applyBorder="1" applyProtection="1">
      <protection locked="0"/>
    </xf>
    <xf numFmtId="0" fontId="3" fillId="0" borderId="3" xfId="0" applyFon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3" fillId="0" borderId="5" xfId="0" applyNumberFormat="1" applyFont="1" applyBorder="1" applyProtection="1">
      <protection locked="0"/>
    </xf>
    <xf numFmtId="0" fontId="3" fillId="0" borderId="0" xfId="0" applyFont="1" applyProtection="1">
      <protection locked="0"/>
    </xf>
    <xf numFmtId="16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3" fillId="0" borderId="8" xfId="0" applyFont="1" applyBorder="1" applyProtection="1">
      <protection locked="0"/>
    </xf>
    <xf numFmtId="164" fontId="0" fillId="0" borderId="9" xfId="0" applyNumberFormat="1" applyBorder="1" applyProtection="1"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5" fillId="0" borderId="1" xfId="0" applyFont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9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6" fontId="1" fillId="0" borderId="1" xfId="0" applyNumberFormat="1" applyFont="1" applyBorder="1"/>
    <xf numFmtId="164" fontId="0" fillId="0" borderId="10" xfId="0" applyNumberFormat="1" applyBorder="1" applyProtection="1">
      <protection locked="0"/>
    </xf>
    <xf numFmtId="166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Plan B</c:v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PartA!$G$6:$G$25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PartA!$H$6:$H$25</c:f>
              <c:numCache>
                <c:formatCode>General</c:formatCode>
                <c:ptCount val="20"/>
                <c:pt idx="0">
                  <c:v>279.43</c:v>
                </c:pt>
                <c:pt idx="1">
                  <c:v>259.68</c:v>
                </c:pt>
                <c:pt idx="2">
                  <c:v>240.73</c:v>
                </c:pt>
                <c:pt idx="3">
                  <c:v>222.52</c:v>
                </c:pt>
                <c:pt idx="4">
                  <c:v>205.02</c:v>
                </c:pt>
                <c:pt idx="5">
                  <c:v>188.21</c:v>
                </c:pt>
                <c:pt idx="6">
                  <c:v>172.04</c:v>
                </c:pt>
                <c:pt idx="7">
                  <c:v>156.49</c:v>
                </c:pt>
                <c:pt idx="8">
                  <c:v>141.52000000000001</c:v>
                </c:pt>
                <c:pt idx="9">
                  <c:v>127.12</c:v>
                </c:pt>
                <c:pt idx="10">
                  <c:v>113.26</c:v>
                </c:pt>
                <c:pt idx="11">
                  <c:v>99.91</c:v>
                </c:pt>
                <c:pt idx="12">
                  <c:v>87.04</c:v>
                </c:pt>
                <c:pt idx="13">
                  <c:v>74.650000000000006</c:v>
                </c:pt>
                <c:pt idx="14">
                  <c:v>62.7</c:v>
                </c:pt>
                <c:pt idx="15">
                  <c:v>51.18</c:v>
                </c:pt>
                <c:pt idx="16">
                  <c:v>40.07</c:v>
                </c:pt>
                <c:pt idx="17">
                  <c:v>29.35</c:v>
                </c:pt>
                <c:pt idx="18">
                  <c:v>19.010000000000002</c:v>
                </c:pt>
                <c:pt idx="19">
                  <c:v>9.0299999999999994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78-4C51-81D7-B6F630DF25A9}"/>
            </c:ext>
          </c:extLst>
        </c:ser>
        <c:ser>
          <c:idx val="0"/>
          <c:order val="1"/>
          <c:tx>
            <c:v>Plan A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PartA!$G$6:$G$25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PartA!$I$6:$I$25</c:f>
              <c:numCache>
                <c:formatCode>General</c:formatCode>
                <c:ptCount val="20"/>
                <c:pt idx="0">
                  <c:v>366.29</c:v>
                </c:pt>
                <c:pt idx="1">
                  <c:v>337.61</c:v>
                </c:pt>
                <c:pt idx="2">
                  <c:v>309.92</c:v>
                </c:pt>
                <c:pt idx="3">
                  <c:v>283.17</c:v>
                </c:pt>
                <c:pt idx="4">
                  <c:v>257.32</c:v>
                </c:pt>
                <c:pt idx="5">
                  <c:v>232.33</c:v>
                </c:pt>
                <c:pt idx="6">
                  <c:v>208.16</c:v>
                </c:pt>
                <c:pt idx="7">
                  <c:v>184.77</c:v>
                </c:pt>
                <c:pt idx="8">
                  <c:v>162.15</c:v>
                </c:pt>
                <c:pt idx="9">
                  <c:v>140.24</c:v>
                </c:pt>
                <c:pt idx="10">
                  <c:v>119.03</c:v>
                </c:pt>
                <c:pt idx="11">
                  <c:v>98.48</c:v>
                </c:pt>
                <c:pt idx="12">
                  <c:v>78.569999999999993</c:v>
                </c:pt>
                <c:pt idx="13">
                  <c:v>59.27</c:v>
                </c:pt>
                <c:pt idx="14">
                  <c:v>40.549999999999997</c:v>
                </c:pt>
                <c:pt idx="15">
                  <c:v>22.4</c:v>
                </c:pt>
                <c:pt idx="16">
                  <c:v>4.79</c:v>
                </c:pt>
                <c:pt idx="17">
                  <c:v>-12.3</c:v>
                </c:pt>
                <c:pt idx="18">
                  <c:v>-28.89</c:v>
                </c:pt>
                <c:pt idx="19">
                  <c:v>-45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78-4C51-81D7-B6F630DF2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478208"/>
        <c:axId val="1642482528"/>
      </c:scatterChart>
      <c:valAx>
        <c:axId val="164247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rate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42482528"/>
        <c:crosses val="autoZero"/>
        <c:crossBetween val="midCat"/>
      </c:valAx>
      <c:valAx>
        <c:axId val="16424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Present Value (Meuros)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4247820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Plan A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PartB!$O$3:$O$23</c:f>
              <c:numCache>
                <c:formatCode>0</c:formatCode>
                <c:ptCount val="21"/>
                <c:pt idx="0">
                  <c:v>-194.28487882045738</c:v>
                </c:pt>
                <c:pt idx="1">
                  <c:v>-152.30118519520244</c:v>
                </c:pt>
                <c:pt idx="2">
                  <c:v>-110.31749156994748</c:v>
                </c:pt>
                <c:pt idx="3">
                  <c:v>-68.33379794469252</c:v>
                </c:pt>
                <c:pt idx="4">
                  <c:v>-26.350104319437563</c:v>
                </c:pt>
                <c:pt idx="5">
                  <c:v>15.633589305817395</c:v>
                </c:pt>
                <c:pt idx="6">
                  <c:v>57.617282931072353</c:v>
                </c:pt>
                <c:pt idx="7">
                  <c:v>99.600976556327311</c:v>
                </c:pt>
                <c:pt idx="8">
                  <c:v>141.58467018158228</c:v>
                </c:pt>
                <c:pt idx="9">
                  <c:v>183.56836380683723</c:v>
                </c:pt>
                <c:pt idx="10">
                  <c:v>225.55205743209217</c:v>
                </c:pt>
                <c:pt idx="11">
                  <c:v>267.53575105734711</c:v>
                </c:pt>
                <c:pt idx="12">
                  <c:v>309.51944468260206</c:v>
                </c:pt>
                <c:pt idx="13">
                  <c:v>351.503138307857</c:v>
                </c:pt>
                <c:pt idx="14">
                  <c:v>393.48683193311194</c:v>
                </c:pt>
                <c:pt idx="15">
                  <c:v>435.47052555836689</c:v>
                </c:pt>
                <c:pt idx="16">
                  <c:v>477.45421918362183</c:v>
                </c:pt>
                <c:pt idx="17">
                  <c:v>519.43791280887683</c:v>
                </c:pt>
                <c:pt idx="18">
                  <c:v>561.42160643413183</c:v>
                </c:pt>
                <c:pt idx="19">
                  <c:v>603.40530005938683</c:v>
                </c:pt>
                <c:pt idx="20">
                  <c:v>645.38899368464183</c:v>
                </c:pt>
              </c:numCache>
            </c:numRef>
          </c:cat>
          <c:val>
            <c:numRef>
              <c:f>PartB!$P$3:$P$23</c:f>
              <c:numCache>
                <c:formatCode>General</c:formatCode>
                <c:ptCount val="21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14</c:v>
                </c:pt>
                <c:pt idx="4">
                  <c:v>28</c:v>
                </c:pt>
                <c:pt idx="5">
                  <c:v>43</c:v>
                </c:pt>
                <c:pt idx="6">
                  <c:v>50</c:v>
                </c:pt>
                <c:pt idx="7">
                  <c:v>87</c:v>
                </c:pt>
                <c:pt idx="8">
                  <c:v>88</c:v>
                </c:pt>
                <c:pt idx="9">
                  <c:v>81</c:v>
                </c:pt>
                <c:pt idx="10">
                  <c:v>105</c:v>
                </c:pt>
                <c:pt idx="11">
                  <c:v>89</c:v>
                </c:pt>
                <c:pt idx="12">
                  <c:v>79</c:v>
                </c:pt>
                <c:pt idx="13">
                  <c:v>85</c:v>
                </c:pt>
                <c:pt idx="14">
                  <c:v>67</c:v>
                </c:pt>
                <c:pt idx="15">
                  <c:v>42</c:v>
                </c:pt>
                <c:pt idx="16">
                  <c:v>52</c:v>
                </c:pt>
                <c:pt idx="17">
                  <c:v>21</c:v>
                </c:pt>
                <c:pt idx="18">
                  <c:v>19</c:v>
                </c:pt>
                <c:pt idx="19">
                  <c:v>6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1-4724-B2EF-D5D91E27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764784"/>
        <c:axId val="740763344"/>
      </c:barChart>
      <c:catAx>
        <c:axId val="74076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NPV (Meuros)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40763344"/>
        <c:crosses val="autoZero"/>
        <c:auto val="1"/>
        <c:lblAlgn val="ctr"/>
        <c:lblOffset val="100"/>
        <c:noMultiLvlLbl val="0"/>
      </c:catAx>
      <c:valAx>
        <c:axId val="7407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407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Plan B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PartB!$S$3:$S$23</c:f>
              <c:numCache>
                <c:formatCode>0</c:formatCode>
                <c:ptCount val="21"/>
                <c:pt idx="0">
                  <c:v>-152.30914951061027</c:v>
                </c:pt>
                <c:pt idx="1">
                  <c:v>-131.70954566603618</c:v>
                </c:pt>
                <c:pt idx="2">
                  <c:v>-111.10994182146209</c:v>
                </c:pt>
                <c:pt idx="3">
                  <c:v>-90.510337976887996</c:v>
                </c:pt>
                <c:pt idx="4">
                  <c:v>-69.910734132313905</c:v>
                </c:pt>
                <c:pt idx="5">
                  <c:v>-49.311130287739807</c:v>
                </c:pt>
                <c:pt idx="6">
                  <c:v>-28.71152644316571</c:v>
                </c:pt>
                <c:pt idx="7">
                  <c:v>-8.1119225985916117</c:v>
                </c:pt>
                <c:pt idx="8">
                  <c:v>12.487681245982486</c:v>
                </c:pt>
                <c:pt idx="9">
                  <c:v>33.087285090556584</c:v>
                </c:pt>
                <c:pt idx="10">
                  <c:v>53.686888935130682</c:v>
                </c:pt>
                <c:pt idx="11">
                  <c:v>74.286492779704787</c:v>
                </c:pt>
                <c:pt idx="12">
                  <c:v>94.886096624278878</c:v>
                </c:pt>
                <c:pt idx="13">
                  <c:v>115.48570046885297</c:v>
                </c:pt>
                <c:pt idx="14">
                  <c:v>136.08530431342706</c:v>
                </c:pt>
                <c:pt idx="15">
                  <c:v>156.68490815800115</c:v>
                </c:pt>
                <c:pt idx="16">
                  <c:v>177.28451200257524</c:v>
                </c:pt>
                <c:pt idx="17">
                  <c:v>197.88411584714933</c:v>
                </c:pt>
                <c:pt idx="18">
                  <c:v>218.48371969172342</c:v>
                </c:pt>
                <c:pt idx="19">
                  <c:v>239.08332353629751</c:v>
                </c:pt>
                <c:pt idx="20">
                  <c:v>259.6829273808716</c:v>
                </c:pt>
              </c:numCache>
            </c:numRef>
          </c:cat>
          <c:val>
            <c:numRef>
              <c:f>PartB!$T$3:$T$23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11</c:v>
                </c:pt>
                <c:pt idx="5">
                  <c:v>13</c:v>
                </c:pt>
                <c:pt idx="6">
                  <c:v>17</c:v>
                </c:pt>
                <c:pt idx="7">
                  <c:v>21</c:v>
                </c:pt>
                <c:pt idx="8">
                  <c:v>26</c:v>
                </c:pt>
                <c:pt idx="9">
                  <c:v>41</c:v>
                </c:pt>
                <c:pt idx="10">
                  <c:v>54</c:v>
                </c:pt>
                <c:pt idx="11">
                  <c:v>57</c:v>
                </c:pt>
                <c:pt idx="12">
                  <c:v>64</c:v>
                </c:pt>
                <c:pt idx="13">
                  <c:v>62</c:v>
                </c:pt>
                <c:pt idx="14">
                  <c:v>85</c:v>
                </c:pt>
                <c:pt idx="15">
                  <c:v>59</c:v>
                </c:pt>
                <c:pt idx="16">
                  <c:v>88</c:v>
                </c:pt>
                <c:pt idx="17">
                  <c:v>93</c:v>
                </c:pt>
                <c:pt idx="18">
                  <c:v>77</c:v>
                </c:pt>
                <c:pt idx="19">
                  <c:v>86</c:v>
                </c:pt>
                <c:pt idx="2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8-4C1C-8F8E-D040BCC16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328944"/>
        <c:axId val="788330864"/>
      </c:barChart>
      <c:catAx>
        <c:axId val="78832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NPV (Meuros)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88330864"/>
        <c:crosses val="autoZero"/>
        <c:auto val="1"/>
        <c:lblAlgn val="ctr"/>
        <c:lblOffset val="100"/>
        <c:noMultiLvlLbl val="0"/>
      </c:catAx>
      <c:valAx>
        <c:axId val="788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8832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Plan</a:t>
            </a:r>
            <a:r>
              <a:rPr lang="en-US" baseline="0"/>
              <a:t> A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 C'!$O$3:$O$23</c:f>
              <c:numCache>
                <c:formatCode>0</c:formatCode>
                <c:ptCount val="21"/>
                <c:pt idx="0">
                  <c:v>-291.43256841114544</c:v>
                </c:pt>
                <c:pt idx="1">
                  <c:v>-255.89791723126262</c:v>
                </c:pt>
                <c:pt idx="2">
                  <c:v>-220.36326605137981</c:v>
                </c:pt>
                <c:pt idx="3">
                  <c:v>-184.828614871497</c:v>
                </c:pt>
                <c:pt idx="4">
                  <c:v>-149.29396369161418</c:v>
                </c:pt>
                <c:pt idx="5">
                  <c:v>-113.75931251173138</c:v>
                </c:pt>
                <c:pt idx="6">
                  <c:v>-78.22466133184858</c:v>
                </c:pt>
                <c:pt idx="7">
                  <c:v>-42.69001015196578</c:v>
                </c:pt>
                <c:pt idx="8">
                  <c:v>-7.1553589720829791</c:v>
                </c:pt>
                <c:pt idx="9">
                  <c:v>28.379292207799821</c:v>
                </c:pt>
                <c:pt idx="10">
                  <c:v>63.913943387682622</c:v>
                </c:pt>
                <c:pt idx="11">
                  <c:v>99.448594567565422</c:v>
                </c:pt>
                <c:pt idx="12">
                  <c:v>134.98324574744822</c:v>
                </c:pt>
                <c:pt idx="13">
                  <c:v>170.51789692733104</c:v>
                </c:pt>
                <c:pt idx="14">
                  <c:v>206.05254810721385</c:v>
                </c:pt>
                <c:pt idx="15">
                  <c:v>241.58719928709667</c:v>
                </c:pt>
                <c:pt idx="16">
                  <c:v>277.12185046697948</c:v>
                </c:pt>
                <c:pt idx="17">
                  <c:v>312.6565016468623</c:v>
                </c:pt>
                <c:pt idx="18">
                  <c:v>348.19115282674511</c:v>
                </c:pt>
                <c:pt idx="19">
                  <c:v>383.72580400662792</c:v>
                </c:pt>
                <c:pt idx="20">
                  <c:v>419.26045518651063</c:v>
                </c:pt>
              </c:numCache>
            </c:numRef>
          </c:cat>
          <c:val>
            <c:numRef>
              <c:f>'Part C'!$P$3:$P$23</c:f>
              <c:numCache>
                <c:formatCode>General</c:formatCode>
                <c:ptCount val="21"/>
                <c:pt idx="0">
                  <c:v>5</c:v>
                </c:pt>
                <c:pt idx="1">
                  <c:v>8</c:v>
                </c:pt>
                <c:pt idx="2">
                  <c:v>13</c:v>
                </c:pt>
                <c:pt idx="3">
                  <c:v>25</c:v>
                </c:pt>
                <c:pt idx="4">
                  <c:v>26</c:v>
                </c:pt>
                <c:pt idx="5">
                  <c:v>44</c:v>
                </c:pt>
                <c:pt idx="6">
                  <c:v>41</c:v>
                </c:pt>
                <c:pt idx="7">
                  <c:v>68</c:v>
                </c:pt>
                <c:pt idx="8">
                  <c:v>81</c:v>
                </c:pt>
                <c:pt idx="9">
                  <c:v>98</c:v>
                </c:pt>
                <c:pt idx="10">
                  <c:v>84</c:v>
                </c:pt>
                <c:pt idx="11">
                  <c:v>95</c:v>
                </c:pt>
                <c:pt idx="12">
                  <c:v>80</c:v>
                </c:pt>
                <c:pt idx="13">
                  <c:v>95</c:v>
                </c:pt>
                <c:pt idx="14">
                  <c:v>68</c:v>
                </c:pt>
                <c:pt idx="15">
                  <c:v>57</c:v>
                </c:pt>
                <c:pt idx="16">
                  <c:v>48</c:v>
                </c:pt>
                <c:pt idx="17">
                  <c:v>21</c:v>
                </c:pt>
                <c:pt idx="18">
                  <c:v>19</c:v>
                </c:pt>
                <c:pt idx="19">
                  <c:v>14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6-45B4-B973-E9C6EB66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941920"/>
        <c:axId val="1496942400"/>
      </c:barChart>
      <c:catAx>
        <c:axId val="149694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NPV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(Meuros)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6942400"/>
        <c:crosses val="autoZero"/>
        <c:auto val="1"/>
        <c:lblAlgn val="ctr"/>
        <c:lblOffset val="100"/>
        <c:noMultiLvlLbl val="0"/>
      </c:catAx>
      <c:valAx>
        <c:axId val="14969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694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Plan</a:t>
            </a:r>
            <a:r>
              <a:rPr lang="en-US" baseline="0"/>
              <a:t> B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 C'!$S$3:$S$23</c:f>
              <c:numCache>
                <c:formatCode>0</c:formatCode>
                <c:ptCount val="21"/>
                <c:pt idx="0">
                  <c:v>-31.519651561984631</c:v>
                </c:pt>
                <c:pt idx="1">
                  <c:v>-16.082495595181811</c:v>
                </c:pt>
                <c:pt idx="2">
                  <c:v>-0.64533962837899139</c:v>
                </c:pt>
                <c:pt idx="3">
                  <c:v>14.791816338423828</c:v>
                </c:pt>
                <c:pt idx="4">
                  <c:v>30.228972305226648</c:v>
                </c:pt>
                <c:pt idx="5">
                  <c:v>45.666128272029468</c:v>
                </c:pt>
                <c:pt idx="6">
                  <c:v>61.103284238832288</c:v>
                </c:pt>
                <c:pt idx="7">
                  <c:v>76.540440205635107</c:v>
                </c:pt>
                <c:pt idx="8">
                  <c:v>91.977596172437927</c:v>
                </c:pt>
                <c:pt idx="9">
                  <c:v>107.41475213924075</c:v>
                </c:pt>
                <c:pt idx="10">
                  <c:v>122.85190810604357</c:v>
                </c:pt>
                <c:pt idx="11">
                  <c:v>138.28906407284637</c:v>
                </c:pt>
                <c:pt idx="12">
                  <c:v>153.72622003964921</c:v>
                </c:pt>
                <c:pt idx="13">
                  <c:v>169.16337600645204</c:v>
                </c:pt>
                <c:pt idx="14">
                  <c:v>184.60053197325487</c:v>
                </c:pt>
                <c:pt idx="15">
                  <c:v>200.03768794005771</c:v>
                </c:pt>
                <c:pt idx="16">
                  <c:v>215.47484390686054</c:v>
                </c:pt>
                <c:pt idx="17">
                  <c:v>230.91199987366338</c:v>
                </c:pt>
                <c:pt idx="18">
                  <c:v>246.34915584046621</c:v>
                </c:pt>
                <c:pt idx="19">
                  <c:v>261.78631180726904</c:v>
                </c:pt>
                <c:pt idx="20">
                  <c:v>277.22346777407176</c:v>
                </c:pt>
              </c:numCache>
            </c:numRef>
          </c:cat>
          <c:val>
            <c:numRef>
              <c:f>'Part C'!$T$3:$T$23</c:f>
              <c:numCache>
                <c:formatCode>General</c:formatCode>
                <c:ptCount val="21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17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25</c:v>
                </c:pt>
                <c:pt idx="8">
                  <c:v>45</c:v>
                </c:pt>
                <c:pt idx="9">
                  <c:v>129</c:v>
                </c:pt>
                <c:pt idx="10">
                  <c:v>114</c:v>
                </c:pt>
                <c:pt idx="11">
                  <c:v>231</c:v>
                </c:pt>
                <c:pt idx="12">
                  <c:v>116</c:v>
                </c:pt>
                <c:pt idx="13">
                  <c:v>69</c:v>
                </c:pt>
                <c:pt idx="14">
                  <c:v>37</c:v>
                </c:pt>
                <c:pt idx="15">
                  <c:v>36</c:v>
                </c:pt>
                <c:pt idx="16">
                  <c:v>31</c:v>
                </c:pt>
                <c:pt idx="17">
                  <c:v>27</c:v>
                </c:pt>
                <c:pt idx="18">
                  <c:v>28</c:v>
                </c:pt>
                <c:pt idx="19">
                  <c:v>21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1-4C22-91B5-C1817B8C5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945776"/>
        <c:axId val="1459945296"/>
      </c:barChart>
      <c:catAx>
        <c:axId val="145994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NPV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(MEuros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9945296"/>
        <c:crosses val="autoZero"/>
        <c:auto val="1"/>
        <c:lblAlgn val="ctr"/>
        <c:lblOffset val="100"/>
        <c:noMultiLvlLbl val="0"/>
      </c:catAx>
      <c:valAx>
        <c:axId val="14599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994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6</xdr:row>
      <xdr:rowOff>57150</xdr:rowOff>
    </xdr:from>
    <xdr:to>
      <xdr:col>16</xdr:col>
      <xdr:colOff>180975</xdr:colOff>
      <xdr:row>20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3061C9-786D-5079-57AC-6D836944E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1276350</xdr:colOff>
      <xdr:row>35</xdr:row>
      <xdr:rowOff>123825</xdr:rowOff>
    </xdr:from>
    <xdr:to>
      <xdr:col>7</xdr:col>
      <xdr:colOff>19050</xdr:colOff>
      <xdr:row>50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72193-146E-375F-ACDE-F5BE30388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447675</xdr:colOff>
      <xdr:row>32</xdr:row>
      <xdr:rowOff>95250</xdr:rowOff>
    </xdr:from>
    <xdr:to>
      <xdr:col>21</xdr:col>
      <xdr:colOff>133350</xdr:colOff>
      <xdr:row>46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71844F-B0C0-ADD4-4D45-16A3178AC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26</xdr:row>
      <xdr:rowOff>152400</xdr:rowOff>
    </xdr:from>
    <xdr:to>
      <xdr:col>16</xdr:col>
      <xdr:colOff>561975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D6ADA-29D3-9EDE-1115-D246E71A2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390525</xdr:colOff>
      <xdr:row>33</xdr:row>
      <xdr:rowOff>57150</xdr:rowOff>
    </xdr:from>
    <xdr:to>
      <xdr:col>23</xdr:col>
      <xdr:colOff>238125</xdr:colOff>
      <xdr:row>47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E130A6-2987-8611-7B42-612465348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5"/>
  <sheetViews>
    <sheetView tabSelected="1" topLeftCell="A4" workbookViewId="0">
      <selection activeCell="O28" sqref="O28"/>
    </sheetView>
  </sheetViews>
  <sheetFormatPr defaultColWidth="8.85546875" defaultRowHeight="15" x14ac:dyDescent="0.25"/>
  <cols>
    <col min="1" max="1" width="25" bestFit="1" customWidth="1"/>
    <col min="3" max="3" width="12" bestFit="1" customWidth="1"/>
    <col min="4" max="5" width="9.7109375" bestFit="1" customWidth="1"/>
    <col min="7" max="7" width="12.7109375" bestFit="1" customWidth="1"/>
    <col min="8" max="8" width="10.85546875" bestFit="1" customWidth="1"/>
    <col min="9" max="9" width="10.7109375" bestFit="1" customWidth="1"/>
    <col min="12" max="12" width="12.7109375" bestFit="1" customWidth="1"/>
    <col min="13" max="13" width="10.85546875" bestFit="1" customWidth="1"/>
    <col min="14" max="14" width="10.7109375" bestFit="1" customWidth="1"/>
    <col min="20" max="20" width="12.7109375" bestFit="1" customWidth="1"/>
    <col min="21" max="21" width="10.85546875" bestFit="1" customWidth="1"/>
    <col min="22" max="22" width="10.7109375" bestFit="1" customWidth="1"/>
  </cols>
  <sheetData>
    <row r="1" spans="1:9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</row>
    <row r="2" spans="1:9" x14ac:dyDescent="0.25">
      <c r="A2" s="1" t="s">
        <v>5</v>
      </c>
      <c r="B2" s="1"/>
      <c r="C2" s="1">
        <v>0.3</v>
      </c>
      <c r="D2" s="1">
        <v>0.6</v>
      </c>
      <c r="E2" s="1">
        <v>0.9</v>
      </c>
    </row>
    <row r="3" spans="1:9" x14ac:dyDescent="0.25">
      <c r="A3" s="1" t="s">
        <v>7</v>
      </c>
      <c r="B3" s="1"/>
      <c r="C3" s="18">
        <v>0.09</v>
      </c>
      <c r="D3" s="1"/>
      <c r="E3" s="1"/>
    </row>
    <row r="5" spans="1:9" x14ac:dyDescent="0.25">
      <c r="A5" s="25" t="s">
        <v>11</v>
      </c>
      <c r="B5" s="25"/>
      <c r="C5" s="25"/>
      <c r="D5" s="25"/>
      <c r="E5" s="25"/>
      <c r="G5" s="30" t="s">
        <v>26</v>
      </c>
      <c r="H5" s="30" t="s">
        <v>29</v>
      </c>
      <c r="I5" s="30" t="s">
        <v>30</v>
      </c>
    </row>
    <row r="6" spans="1:9" x14ac:dyDescent="0.25">
      <c r="A6" s="1" t="s">
        <v>1</v>
      </c>
      <c r="B6" s="1"/>
      <c r="C6" s="1">
        <v>3</v>
      </c>
      <c r="D6" s="1">
        <v>3</v>
      </c>
      <c r="E6" s="1">
        <v>3</v>
      </c>
      <c r="G6" s="28">
        <v>1</v>
      </c>
      <c r="H6" s="28">
        <v>279.43</v>
      </c>
      <c r="I6" s="28">
        <v>366.29</v>
      </c>
    </row>
    <row r="7" spans="1:9" x14ac:dyDescent="0.25">
      <c r="A7" s="1" t="s">
        <v>4</v>
      </c>
      <c r="B7" s="1"/>
      <c r="C7" s="1">
        <v>0.9</v>
      </c>
      <c r="D7" s="1">
        <v>0.9</v>
      </c>
      <c r="E7" s="1">
        <v>0.9</v>
      </c>
      <c r="G7" s="28">
        <v>2</v>
      </c>
      <c r="H7" s="28">
        <v>259.68</v>
      </c>
      <c r="I7" s="28">
        <v>337.61</v>
      </c>
    </row>
    <row r="8" spans="1:9" x14ac:dyDescent="0.25">
      <c r="A8" s="1" t="s">
        <v>3</v>
      </c>
      <c r="B8" s="1">
        <v>900</v>
      </c>
      <c r="C8" s="1">
        <v>0</v>
      </c>
      <c r="D8" s="1">
        <v>0</v>
      </c>
      <c r="E8" s="1">
        <v>0</v>
      </c>
      <c r="G8" s="28">
        <v>3</v>
      </c>
      <c r="H8" s="28">
        <v>240.73</v>
      </c>
      <c r="I8" s="28">
        <v>309.92</v>
      </c>
    </row>
    <row r="9" spans="1:9" x14ac:dyDescent="0.25">
      <c r="A9" s="1" t="s">
        <v>2</v>
      </c>
      <c r="B9" s="1"/>
      <c r="C9" s="1">
        <v>1280</v>
      </c>
      <c r="D9" s="1">
        <v>1280</v>
      </c>
      <c r="E9" s="1">
        <v>1280</v>
      </c>
      <c r="G9" s="28">
        <v>4</v>
      </c>
      <c r="H9" s="28">
        <v>222.52</v>
      </c>
      <c r="I9" s="28">
        <v>283.17</v>
      </c>
    </row>
    <row r="10" spans="1:9" x14ac:dyDescent="0.25">
      <c r="A10" s="1" t="s">
        <v>6</v>
      </c>
      <c r="B10" s="1"/>
      <c r="C10" s="1"/>
      <c r="D10" s="1"/>
      <c r="E10" s="1">
        <v>0</v>
      </c>
      <c r="G10" s="28">
        <v>5</v>
      </c>
      <c r="H10" s="28">
        <v>205.02</v>
      </c>
      <c r="I10" s="28">
        <v>257.32</v>
      </c>
    </row>
    <row r="11" spans="1:9" x14ac:dyDescent="0.25">
      <c r="A11" s="1" t="s">
        <v>9</v>
      </c>
      <c r="B11" s="1"/>
      <c r="C11" s="1">
        <v>2000</v>
      </c>
      <c r="D11" s="1">
        <v>2000</v>
      </c>
      <c r="E11" s="1">
        <v>2000</v>
      </c>
      <c r="G11" s="28">
        <v>6</v>
      </c>
      <c r="H11" s="28">
        <v>188.21</v>
      </c>
      <c r="I11" s="28">
        <v>232.33</v>
      </c>
    </row>
    <row r="12" spans="1:9" x14ac:dyDescent="0.25">
      <c r="A12" s="2" t="s">
        <v>10</v>
      </c>
      <c r="B12" s="2"/>
      <c r="C12" s="21">
        <f>NPV(C3,C2*(C11-C9))</f>
        <v>198.16513761467888</v>
      </c>
      <c r="D12" s="21">
        <f>NPV(C3,0,D2*(D11-D9))</f>
        <v>363.60575709115386</v>
      </c>
      <c r="E12" s="21">
        <f>NPV(C3,0,0,E2*(E11-E9))</f>
        <v>500.37489507956957</v>
      </c>
      <c r="G12" s="28">
        <v>7</v>
      </c>
      <c r="H12" s="28">
        <v>172.04</v>
      </c>
      <c r="I12" s="28">
        <v>208.16</v>
      </c>
    </row>
    <row r="13" spans="1:9" x14ac:dyDescent="0.25">
      <c r="A13" s="2" t="s">
        <v>8</v>
      </c>
      <c r="B13" s="21">
        <f>-B8+SUM(C12:E12)</f>
        <v>162.14578978540226</v>
      </c>
      <c r="C13" s="1"/>
      <c r="D13" s="2"/>
      <c r="E13" s="2"/>
      <c r="G13" s="28">
        <v>8</v>
      </c>
      <c r="H13" s="28">
        <v>156.49</v>
      </c>
      <c r="I13" s="28">
        <v>184.77</v>
      </c>
    </row>
    <row r="14" spans="1:9" x14ac:dyDescent="0.25">
      <c r="G14" s="28">
        <v>9</v>
      </c>
      <c r="H14" s="28">
        <v>141.52000000000001</v>
      </c>
      <c r="I14" s="28">
        <v>162.15</v>
      </c>
    </row>
    <row r="15" spans="1:9" x14ac:dyDescent="0.25">
      <c r="A15" s="25" t="s">
        <v>12</v>
      </c>
      <c r="B15" s="25"/>
      <c r="C15" s="25"/>
      <c r="D15" s="25"/>
      <c r="E15" s="25"/>
      <c r="G15" s="28">
        <v>10</v>
      </c>
      <c r="H15" s="28">
        <v>127.12</v>
      </c>
      <c r="I15" s="28">
        <v>140.24</v>
      </c>
    </row>
    <row r="16" spans="1:9" x14ac:dyDescent="0.25">
      <c r="A16" s="1" t="s">
        <v>0</v>
      </c>
      <c r="B16" s="1">
        <v>0</v>
      </c>
      <c r="C16" s="1">
        <v>1</v>
      </c>
      <c r="D16" s="1">
        <v>2</v>
      </c>
      <c r="E16" s="1">
        <v>3</v>
      </c>
      <c r="G16" s="28">
        <v>11</v>
      </c>
      <c r="H16" s="28">
        <v>113.26</v>
      </c>
      <c r="I16" s="28">
        <v>119.03</v>
      </c>
    </row>
    <row r="17" spans="1:24" x14ac:dyDescent="0.25">
      <c r="A17" s="1" t="s">
        <v>1</v>
      </c>
      <c r="B17" s="1"/>
      <c r="C17" s="1">
        <v>1</v>
      </c>
      <c r="D17" s="1">
        <v>2</v>
      </c>
      <c r="E17" s="1">
        <v>3</v>
      </c>
      <c r="G17" s="28">
        <v>12</v>
      </c>
      <c r="H17" s="28">
        <v>99.91</v>
      </c>
      <c r="I17" s="28">
        <v>98.48</v>
      </c>
    </row>
    <row r="18" spans="1:24" x14ac:dyDescent="0.25">
      <c r="A18" s="1" t="s">
        <v>4</v>
      </c>
      <c r="B18" s="1"/>
      <c r="C18" s="1">
        <v>0.3</v>
      </c>
      <c r="D18" s="1">
        <v>0.6</v>
      </c>
      <c r="E18" s="1">
        <v>0.9</v>
      </c>
      <c r="G18" s="28">
        <v>13</v>
      </c>
      <c r="H18" s="28">
        <v>87.04</v>
      </c>
      <c r="I18" s="28">
        <v>78.569999999999993</v>
      </c>
    </row>
    <row r="19" spans="1:24" x14ac:dyDescent="0.25">
      <c r="A19" s="1" t="s">
        <v>3</v>
      </c>
      <c r="B19" s="1">
        <v>300</v>
      </c>
      <c r="C19" s="1">
        <v>300</v>
      </c>
      <c r="D19" s="1">
        <v>300</v>
      </c>
      <c r="E19" s="1">
        <v>0</v>
      </c>
      <c r="G19" s="28">
        <v>14</v>
      </c>
      <c r="H19" s="28">
        <v>74.650000000000006</v>
      </c>
      <c r="I19" s="28">
        <v>59.27</v>
      </c>
    </row>
    <row r="20" spans="1:24" x14ac:dyDescent="0.25">
      <c r="A20" s="1" t="s">
        <v>2</v>
      </c>
      <c r="B20" s="1"/>
      <c r="C20" s="1">
        <v>1500</v>
      </c>
      <c r="D20" s="1">
        <v>1500</v>
      </c>
      <c r="E20" s="1">
        <v>1500</v>
      </c>
      <c r="G20" s="28">
        <v>15</v>
      </c>
      <c r="H20" s="28">
        <v>62.7</v>
      </c>
      <c r="I20" s="28">
        <v>40.549999999999997</v>
      </c>
    </row>
    <row r="21" spans="1:24" x14ac:dyDescent="0.25">
      <c r="A21" s="1" t="s">
        <v>6</v>
      </c>
      <c r="B21" s="1"/>
      <c r="C21" s="1"/>
      <c r="D21" s="1"/>
      <c r="E21" s="1">
        <v>300</v>
      </c>
      <c r="G21" s="28">
        <v>16</v>
      </c>
      <c r="H21" s="28">
        <v>51.18</v>
      </c>
      <c r="I21" s="28">
        <v>22.4</v>
      </c>
    </row>
    <row r="22" spans="1:24" x14ac:dyDescent="0.25">
      <c r="A22" s="1" t="s">
        <v>9</v>
      </c>
      <c r="B22" s="1"/>
      <c r="C22" s="1">
        <v>2000</v>
      </c>
      <c r="D22" s="1">
        <v>2000</v>
      </c>
      <c r="E22" s="1">
        <v>2000</v>
      </c>
      <c r="G22" s="28">
        <v>17</v>
      </c>
      <c r="H22" s="28">
        <v>40.07</v>
      </c>
      <c r="I22" s="28">
        <v>4.79</v>
      </c>
      <c r="X22" s="1"/>
    </row>
    <row r="23" spans="1:24" x14ac:dyDescent="0.25">
      <c r="A23" s="2" t="s">
        <v>10</v>
      </c>
      <c r="B23" s="2"/>
      <c r="C23" s="21">
        <f>-NPV(C3,C19)+NPV(C3,C2*(C22-C20))</f>
        <v>-137.61467889908255</v>
      </c>
      <c r="D23" s="21">
        <f>-NPV(C3,0,D19)+NPV(C3,0,D2*(D22-D20))</f>
        <v>0</v>
      </c>
      <c r="E23" s="21">
        <f>NPV(C3,0,0,E2*(E22-E20)+E21)</f>
        <v>579.13761004579806</v>
      </c>
      <c r="G23" s="28">
        <v>18</v>
      </c>
      <c r="H23" s="28">
        <v>29.35</v>
      </c>
      <c r="I23" s="28">
        <v>-12.3</v>
      </c>
    </row>
    <row r="24" spans="1:24" x14ac:dyDescent="0.25">
      <c r="A24" s="2" t="s">
        <v>8</v>
      </c>
      <c r="B24" s="21">
        <f>-B19+SUM(C23:E23)</f>
        <v>141.52293114671551</v>
      </c>
      <c r="C24" s="1"/>
      <c r="D24" s="2"/>
      <c r="E24" s="2"/>
      <c r="G24" s="28">
        <v>19</v>
      </c>
      <c r="H24" s="28">
        <v>19.010000000000002</v>
      </c>
      <c r="I24" s="28">
        <v>-28.89</v>
      </c>
    </row>
    <row r="25" spans="1:24" x14ac:dyDescent="0.25">
      <c r="G25" s="29">
        <v>20</v>
      </c>
      <c r="H25" s="29">
        <v>9.0299999999999994</v>
      </c>
      <c r="I25" s="29">
        <v>-45</v>
      </c>
    </row>
  </sheetData>
  <mergeCells count="2">
    <mergeCell ref="A5:E5"/>
    <mergeCell ref="A15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003"/>
  <sheetViews>
    <sheetView workbookViewId="0">
      <selection activeCell="C4" sqref="C4"/>
    </sheetView>
  </sheetViews>
  <sheetFormatPr defaultColWidth="8.85546875" defaultRowHeight="15" x14ac:dyDescent="0.25"/>
  <cols>
    <col min="1" max="1" width="25" bestFit="1" customWidth="1"/>
    <col min="2" max="2" width="12" bestFit="1" customWidth="1"/>
    <col min="3" max="3" width="9.7109375" bestFit="1" customWidth="1"/>
    <col min="4" max="4" width="11" bestFit="1" customWidth="1"/>
    <col min="5" max="5" width="12" bestFit="1" customWidth="1"/>
    <col min="9" max="9" width="10.42578125" bestFit="1" customWidth="1"/>
    <col min="15" max="15" width="11.28515625" bestFit="1" customWidth="1"/>
  </cols>
  <sheetData>
    <row r="1" spans="1:20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  <c r="H1" s="26" t="s">
        <v>15</v>
      </c>
      <c r="I1" s="26"/>
      <c r="J1" s="26"/>
      <c r="K1" s="26"/>
      <c r="L1" s="26"/>
      <c r="N1" s="27" t="s">
        <v>24</v>
      </c>
      <c r="O1" s="27"/>
      <c r="P1" s="27"/>
      <c r="R1" s="27" t="s">
        <v>25</v>
      </c>
      <c r="S1" s="27"/>
      <c r="T1" s="27"/>
    </row>
    <row r="2" spans="1:20" x14ac:dyDescent="0.25">
      <c r="A2" s="1" t="s">
        <v>5</v>
      </c>
      <c r="B2" s="1"/>
      <c r="C2" s="1">
        <f ca="1">0.3*((1-0.5)+2*0.5*RAND())</f>
        <v>0.25024972204966756</v>
      </c>
      <c r="D2" s="1">
        <f ca="1">0.6*((1-0.5)+2*0.5*RAND())</f>
        <v>0.6508268800093312</v>
      </c>
      <c r="E2" s="1">
        <f ca="1">0.9*((1-0.5)+2*0.5*RAND())</f>
        <v>1.2895265593424594</v>
      </c>
      <c r="N2" s="13" t="s">
        <v>21</v>
      </c>
      <c r="O2" s="14" t="s">
        <v>22</v>
      </c>
      <c r="P2" s="14" t="s">
        <v>23</v>
      </c>
      <c r="R2" s="13" t="s">
        <v>21</v>
      </c>
      <c r="S2" s="14" t="s">
        <v>22</v>
      </c>
      <c r="T2" s="14" t="s">
        <v>23</v>
      </c>
    </row>
    <row r="3" spans="1:20" ht="16.5" x14ac:dyDescent="0.3">
      <c r="A3" s="1" t="s">
        <v>7</v>
      </c>
      <c r="B3" s="1"/>
      <c r="C3" s="18">
        <v>0.02</v>
      </c>
      <c r="D3" s="1"/>
      <c r="E3" s="1"/>
      <c r="H3" s="3" t="s">
        <v>13</v>
      </c>
      <c r="I3" s="21">
        <f ca="1">B13</f>
        <v>337.67096032973177</v>
      </c>
      <c r="K3" s="3" t="s">
        <v>14</v>
      </c>
      <c r="L3" s="20">
        <f ca="1">B24</f>
        <v>235.29553622874778</v>
      </c>
      <c r="N3" s="17">
        <v>0</v>
      </c>
      <c r="O3" s="16">
        <f>H28</f>
        <v>-194.28487882045738</v>
      </c>
      <c r="P3" s="15">
        <f>COUNTIF(I4:I1003,"&gt;="&amp;O3)-COUNTIF(I4:I1003,"&gt;="&amp;O4)</f>
        <v>7</v>
      </c>
      <c r="R3" s="17">
        <v>0</v>
      </c>
      <c r="S3" s="16">
        <f>H31</f>
        <v>-152.30914951061027</v>
      </c>
      <c r="T3" s="1">
        <f>COUNTIF(L4:L1003,"&gt;="&amp;S3)-COUNTIF(L4:L1003,"&gt;="&amp;S4)</f>
        <v>1</v>
      </c>
    </row>
    <row r="4" spans="1:20" ht="16.5" x14ac:dyDescent="0.3">
      <c r="I4">
        <f t="dataTable" ref="I4:I1003" dt2D="0" dtr="0" r1="G3" ca="1"/>
        <v>182.51317906413533</v>
      </c>
      <c r="L4">
        <f t="dataTable" ref="L4:L1003" dt2D="0" dtr="0" r1="J3" ca="1"/>
        <v>163.71326027585104</v>
      </c>
      <c r="N4" s="17">
        <v>1</v>
      </c>
      <c r="O4" s="16">
        <f>O3+$O$26</f>
        <v>-152.30118519520244</v>
      </c>
      <c r="P4" s="15">
        <f t="shared" ref="P4:P23" si="0">COUNTIF(I5:I1004,"&gt;="&amp;O4)-COUNTIF(I5:I1004,"&gt;="&amp;O5)</f>
        <v>10</v>
      </c>
      <c r="R4" s="17">
        <v>1</v>
      </c>
      <c r="S4" s="16">
        <f>S3+$S$26</f>
        <v>-131.70954566603618</v>
      </c>
      <c r="T4" s="1">
        <f t="shared" ref="T4:T23" si="1">COUNTIF(L5:L1004,"&gt;="&amp;S4)-COUNTIF(L5:L1004,"&gt;="&amp;S5)</f>
        <v>1</v>
      </c>
    </row>
    <row r="5" spans="1:20" ht="16.5" x14ac:dyDescent="0.3">
      <c r="A5" s="25" t="s">
        <v>11</v>
      </c>
      <c r="B5" s="25"/>
      <c r="C5" s="25"/>
      <c r="D5" s="25"/>
      <c r="E5" s="25"/>
      <c r="I5">
        <v>550.41515049936879</v>
      </c>
      <c r="L5">
        <v>217.46840264292382</v>
      </c>
      <c r="N5" s="17">
        <v>2</v>
      </c>
      <c r="O5" s="16">
        <f t="shared" ref="O5:O23" si="2">O4+$O$26</f>
        <v>-110.31749156994748</v>
      </c>
      <c r="P5" s="15">
        <f t="shared" si="0"/>
        <v>13</v>
      </c>
      <c r="R5" s="17">
        <v>2</v>
      </c>
      <c r="S5" s="16">
        <f t="shared" ref="S5:S23" si="3">S4+$S$26</f>
        <v>-111.10994182146209</v>
      </c>
      <c r="T5" s="1">
        <f t="shared" si="1"/>
        <v>5</v>
      </c>
    </row>
    <row r="6" spans="1:20" ht="16.5" x14ac:dyDescent="0.3">
      <c r="A6" s="1" t="s">
        <v>1</v>
      </c>
      <c r="B6" s="1"/>
      <c r="C6" s="1">
        <v>3</v>
      </c>
      <c r="D6" s="1">
        <v>3</v>
      </c>
      <c r="E6" s="1">
        <v>3</v>
      </c>
      <c r="I6">
        <v>335.83573175921765</v>
      </c>
      <c r="L6">
        <v>190.73702191169838</v>
      </c>
      <c r="N6" s="17">
        <v>3</v>
      </c>
      <c r="O6" s="16">
        <f t="shared" si="2"/>
        <v>-68.33379794469252</v>
      </c>
      <c r="P6" s="15">
        <f t="shared" si="0"/>
        <v>14</v>
      </c>
      <c r="R6" s="17">
        <v>3</v>
      </c>
      <c r="S6" s="16">
        <f t="shared" si="3"/>
        <v>-90.510337976887996</v>
      </c>
      <c r="T6" s="1">
        <f t="shared" si="1"/>
        <v>4</v>
      </c>
    </row>
    <row r="7" spans="1:20" ht="16.5" x14ac:dyDescent="0.3">
      <c r="A7" s="1" t="s">
        <v>4</v>
      </c>
      <c r="B7" s="1"/>
      <c r="C7" s="1">
        <v>0.9</v>
      </c>
      <c r="D7" s="1">
        <v>0.9</v>
      </c>
      <c r="E7" s="1">
        <v>0.9</v>
      </c>
      <c r="I7">
        <v>193.29747283017173</v>
      </c>
      <c r="L7">
        <v>222.82898843672604</v>
      </c>
      <c r="N7" s="17">
        <v>4</v>
      </c>
      <c r="O7" s="16">
        <f t="shared" si="2"/>
        <v>-26.350104319437563</v>
      </c>
      <c r="P7" s="15">
        <f t="shared" si="0"/>
        <v>28</v>
      </c>
      <c r="R7" s="17">
        <v>4</v>
      </c>
      <c r="S7" s="16">
        <f t="shared" si="3"/>
        <v>-69.910734132313905</v>
      </c>
      <c r="T7" s="1">
        <f t="shared" si="1"/>
        <v>11</v>
      </c>
    </row>
    <row r="8" spans="1:20" ht="16.5" x14ac:dyDescent="0.3">
      <c r="A8" s="1" t="s">
        <v>3</v>
      </c>
      <c r="B8" s="1">
        <v>900</v>
      </c>
      <c r="C8" s="1">
        <v>0</v>
      </c>
      <c r="D8" s="1">
        <v>0</v>
      </c>
      <c r="E8" s="1">
        <v>0</v>
      </c>
      <c r="I8">
        <v>445.11141217412705</v>
      </c>
      <c r="L8">
        <v>116.71360776743143</v>
      </c>
      <c r="N8" s="17">
        <v>5</v>
      </c>
      <c r="O8" s="16">
        <f t="shared" si="2"/>
        <v>15.633589305817395</v>
      </c>
      <c r="P8" s="15">
        <f t="shared" si="0"/>
        <v>43</v>
      </c>
      <c r="R8" s="17">
        <v>5</v>
      </c>
      <c r="S8" s="16">
        <f t="shared" si="3"/>
        <v>-49.311130287739807</v>
      </c>
      <c r="T8" s="1">
        <f t="shared" si="1"/>
        <v>13</v>
      </c>
    </row>
    <row r="9" spans="1:20" ht="16.5" x14ac:dyDescent="0.3">
      <c r="A9" s="1" t="s">
        <v>2</v>
      </c>
      <c r="B9" s="1"/>
      <c r="C9" s="1">
        <v>1280</v>
      </c>
      <c r="D9" s="1">
        <v>1280</v>
      </c>
      <c r="E9" s="1">
        <v>1280</v>
      </c>
      <c r="I9">
        <v>254.81982810845557</v>
      </c>
      <c r="L9">
        <v>29.724563912155418</v>
      </c>
      <c r="N9" s="17">
        <v>6</v>
      </c>
      <c r="O9" s="16">
        <f t="shared" si="2"/>
        <v>57.617282931072353</v>
      </c>
      <c r="P9" s="15">
        <f t="shared" si="0"/>
        <v>50</v>
      </c>
      <c r="R9" s="17">
        <v>6</v>
      </c>
      <c r="S9" s="16">
        <f t="shared" si="3"/>
        <v>-28.71152644316571</v>
      </c>
      <c r="T9" s="1">
        <f t="shared" si="1"/>
        <v>17</v>
      </c>
    </row>
    <row r="10" spans="1:20" ht="16.5" x14ac:dyDescent="0.3">
      <c r="A10" s="1" t="s">
        <v>6</v>
      </c>
      <c r="B10" s="1"/>
      <c r="C10" s="1"/>
      <c r="D10" s="1"/>
      <c r="E10" s="1">
        <v>0</v>
      </c>
      <c r="I10">
        <v>248.05491233092198</v>
      </c>
      <c r="L10">
        <v>259.68292738087166</v>
      </c>
      <c r="N10" s="17">
        <v>7</v>
      </c>
      <c r="O10" s="16">
        <f t="shared" si="2"/>
        <v>99.600976556327311</v>
      </c>
      <c r="P10" s="15">
        <f t="shared" si="0"/>
        <v>87</v>
      </c>
      <c r="R10" s="17">
        <v>7</v>
      </c>
      <c r="S10" s="16">
        <f t="shared" si="3"/>
        <v>-8.1119225985916117</v>
      </c>
      <c r="T10" s="1">
        <f t="shared" si="1"/>
        <v>21</v>
      </c>
    </row>
    <row r="11" spans="1:20" ht="16.5" x14ac:dyDescent="0.3">
      <c r="A11" s="1" t="s">
        <v>9</v>
      </c>
      <c r="B11" s="1"/>
      <c r="C11" s="1">
        <v>2000</v>
      </c>
      <c r="D11" s="1">
        <v>2000</v>
      </c>
      <c r="E11" s="1">
        <v>2000</v>
      </c>
      <c r="I11">
        <v>450.77849066088902</v>
      </c>
      <c r="L11">
        <v>-47.491829453875312</v>
      </c>
      <c r="N11" s="17">
        <v>8</v>
      </c>
      <c r="O11" s="16">
        <f t="shared" si="2"/>
        <v>141.58467018158228</v>
      </c>
      <c r="P11" s="15">
        <f t="shared" si="0"/>
        <v>88</v>
      </c>
      <c r="R11" s="17">
        <v>8</v>
      </c>
      <c r="S11" s="16">
        <f t="shared" si="3"/>
        <v>12.487681245982486</v>
      </c>
      <c r="T11" s="1">
        <f t="shared" si="1"/>
        <v>26</v>
      </c>
    </row>
    <row r="12" spans="1:20" ht="16.5" x14ac:dyDescent="0.3">
      <c r="A12" s="2" t="s">
        <v>10</v>
      </c>
      <c r="B12" s="2"/>
      <c r="C12" s="21">
        <f ca="1">NPV(C3,MIN(C2,C7)*(C11-C9))</f>
        <v>176.64686262329474</v>
      </c>
      <c r="D12" s="20">
        <f ca="1">NPV(C3,0,MIN(D2,D7)*(D11-D9))</f>
        <v>450.3992249199523</v>
      </c>
      <c r="E12" s="20">
        <f ca="1">NPV(C3,0,0,MIN(E2,E7)*(E11-E9))</f>
        <v>610.62487278648484</v>
      </c>
      <c r="I12">
        <v>443.06819298443088</v>
      </c>
      <c r="L12">
        <v>150.73384669786515</v>
      </c>
      <c r="N12" s="17">
        <v>9</v>
      </c>
      <c r="O12" s="16">
        <f t="shared" si="2"/>
        <v>183.56836380683723</v>
      </c>
      <c r="P12" s="15">
        <f t="shared" si="0"/>
        <v>81</v>
      </c>
      <c r="R12" s="17">
        <v>9</v>
      </c>
      <c r="S12" s="16">
        <f t="shared" si="3"/>
        <v>33.087285090556584</v>
      </c>
      <c r="T12" s="1">
        <f t="shared" si="1"/>
        <v>41</v>
      </c>
    </row>
    <row r="13" spans="1:20" ht="16.5" x14ac:dyDescent="0.3">
      <c r="A13" s="2" t="s">
        <v>8</v>
      </c>
      <c r="B13" s="21">
        <f ca="1">-B8+SUM(C12:E12)</f>
        <v>337.67096032973177</v>
      </c>
      <c r="C13" s="1"/>
      <c r="D13" s="2"/>
      <c r="E13" s="2"/>
      <c r="I13">
        <v>324.54924884425418</v>
      </c>
      <c r="L13">
        <v>249.78465673666483</v>
      </c>
      <c r="N13" s="17">
        <v>10</v>
      </c>
      <c r="O13" s="16">
        <f t="shared" si="2"/>
        <v>225.55205743209217</v>
      </c>
      <c r="P13" s="15">
        <f t="shared" si="0"/>
        <v>105</v>
      </c>
      <c r="R13" s="17">
        <v>10</v>
      </c>
      <c r="S13" s="16">
        <f t="shared" si="3"/>
        <v>53.686888935130682</v>
      </c>
      <c r="T13" s="1">
        <f t="shared" si="1"/>
        <v>54</v>
      </c>
    </row>
    <row r="14" spans="1:20" ht="16.5" x14ac:dyDescent="0.3">
      <c r="I14">
        <v>415.96651218933857</v>
      </c>
      <c r="L14">
        <v>259.68292738087166</v>
      </c>
      <c r="N14" s="17">
        <v>11</v>
      </c>
      <c r="O14" s="16">
        <f t="shared" si="2"/>
        <v>267.53575105734711</v>
      </c>
      <c r="P14" s="15">
        <f t="shared" si="0"/>
        <v>89</v>
      </c>
      <c r="R14" s="17">
        <v>11</v>
      </c>
      <c r="S14" s="16">
        <f t="shared" si="3"/>
        <v>74.286492779704787</v>
      </c>
      <c r="T14" s="1">
        <f t="shared" si="1"/>
        <v>57</v>
      </c>
    </row>
    <row r="15" spans="1:20" ht="16.5" x14ac:dyDescent="0.3">
      <c r="A15" s="25" t="s">
        <v>12</v>
      </c>
      <c r="B15" s="25"/>
      <c r="C15" s="25"/>
      <c r="D15" s="25"/>
      <c r="E15" s="25"/>
      <c r="I15">
        <v>267.2887312889552</v>
      </c>
      <c r="L15">
        <v>259.68292738087166</v>
      </c>
      <c r="N15" s="17">
        <v>12</v>
      </c>
      <c r="O15" s="16">
        <f t="shared" si="2"/>
        <v>309.51944468260206</v>
      </c>
      <c r="P15" s="15">
        <f t="shared" si="0"/>
        <v>79</v>
      </c>
      <c r="R15" s="17">
        <v>12</v>
      </c>
      <c r="S15" s="16">
        <f t="shared" si="3"/>
        <v>94.886096624278878</v>
      </c>
      <c r="T15" s="1">
        <f t="shared" si="1"/>
        <v>64</v>
      </c>
    </row>
    <row r="16" spans="1:20" ht="16.5" x14ac:dyDescent="0.3">
      <c r="A16" s="1" t="s">
        <v>0</v>
      </c>
      <c r="B16" s="1">
        <v>0</v>
      </c>
      <c r="C16" s="1">
        <v>1</v>
      </c>
      <c r="D16" s="1">
        <v>2</v>
      </c>
      <c r="E16" s="1">
        <v>3</v>
      </c>
      <c r="I16">
        <v>355.41279326345762</v>
      </c>
      <c r="L16">
        <v>259.68292738087166</v>
      </c>
      <c r="N16" s="17">
        <v>13</v>
      </c>
      <c r="O16" s="16">
        <f t="shared" si="2"/>
        <v>351.503138307857</v>
      </c>
      <c r="P16" s="15">
        <f t="shared" si="0"/>
        <v>85</v>
      </c>
      <c r="R16" s="17">
        <v>13</v>
      </c>
      <c r="S16" s="16">
        <f t="shared" si="3"/>
        <v>115.48570046885297</v>
      </c>
      <c r="T16" s="1">
        <f t="shared" si="1"/>
        <v>62</v>
      </c>
    </row>
    <row r="17" spans="1:20" ht="16.5" x14ac:dyDescent="0.3">
      <c r="A17" s="1" t="s">
        <v>1</v>
      </c>
      <c r="B17" s="1"/>
      <c r="C17" s="1">
        <v>1</v>
      </c>
      <c r="D17" s="1">
        <v>2</v>
      </c>
      <c r="E17" s="1">
        <v>3</v>
      </c>
      <c r="I17">
        <v>96.580006302428956</v>
      </c>
      <c r="L17">
        <v>5.2138827952363158</v>
      </c>
      <c r="N17" s="17">
        <v>14</v>
      </c>
      <c r="O17" s="16">
        <f t="shared" si="2"/>
        <v>393.48683193311194</v>
      </c>
      <c r="P17" s="15">
        <f t="shared" si="0"/>
        <v>67</v>
      </c>
      <c r="R17" s="17">
        <v>14</v>
      </c>
      <c r="S17" s="16">
        <f t="shared" si="3"/>
        <v>136.08530431342706</v>
      </c>
      <c r="T17" s="1">
        <f t="shared" si="1"/>
        <v>85</v>
      </c>
    </row>
    <row r="18" spans="1:20" ht="16.5" x14ac:dyDescent="0.3">
      <c r="A18" s="1" t="s">
        <v>4</v>
      </c>
      <c r="B18" s="1"/>
      <c r="C18" s="1">
        <v>0.3</v>
      </c>
      <c r="D18" s="1">
        <v>0.6</v>
      </c>
      <c r="E18" s="1">
        <v>0.9</v>
      </c>
      <c r="I18">
        <v>518.91872146414835</v>
      </c>
      <c r="L18">
        <v>49.564218441956143</v>
      </c>
      <c r="N18" s="17">
        <v>15</v>
      </c>
      <c r="O18" s="16">
        <f t="shared" si="2"/>
        <v>435.47052555836689</v>
      </c>
      <c r="P18" s="15">
        <f t="shared" si="0"/>
        <v>42</v>
      </c>
      <c r="R18" s="17">
        <v>15</v>
      </c>
      <c r="S18" s="16">
        <f t="shared" si="3"/>
        <v>156.68490815800115</v>
      </c>
      <c r="T18" s="1">
        <f t="shared" si="1"/>
        <v>59</v>
      </c>
    </row>
    <row r="19" spans="1:20" ht="16.5" x14ac:dyDescent="0.3">
      <c r="A19" s="1" t="s">
        <v>3</v>
      </c>
      <c r="B19" s="1">
        <v>300</v>
      </c>
      <c r="C19" s="1">
        <v>300</v>
      </c>
      <c r="D19" s="1">
        <v>300</v>
      </c>
      <c r="E19" s="1">
        <v>0</v>
      </c>
      <c r="I19">
        <v>331.74922250548843</v>
      </c>
      <c r="L19">
        <v>190.2741756224242</v>
      </c>
      <c r="N19" s="17">
        <v>16</v>
      </c>
      <c r="O19" s="16">
        <f t="shared" si="2"/>
        <v>477.45421918362183</v>
      </c>
      <c r="P19" s="15">
        <f t="shared" si="0"/>
        <v>52</v>
      </c>
      <c r="R19" s="17">
        <v>16</v>
      </c>
      <c r="S19" s="16">
        <f t="shared" si="3"/>
        <v>177.28451200257524</v>
      </c>
      <c r="T19" s="1">
        <f t="shared" si="1"/>
        <v>88</v>
      </c>
    </row>
    <row r="20" spans="1:20" ht="16.5" x14ac:dyDescent="0.3">
      <c r="A20" s="1" t="s">
        <v>2</v>
      </c>
      <c r="B20" s="1"/>
      <c r="C20" s="1">
        <v>1500</v>
      </c>
      <c r="D20" s="1">
        <v>1500</v>
      </c>
      <c r="E20" s="1">
        <v>1500</v>
      </c>
      <c r="I20">
        <v>-47.784042542227326</v>
      </c>
      <c r="L20">
        <v>98.319365703941969</v>
      </c>
      <c r="N20" s="17">
        <v>17</v>
      </c>
      <c r="O20" s="16">
        <f t="shared" si="2"/>
        <v>519.43791280887683</v>
      </c>
      <c r="P20" s="15">
        <f t="shared" si="0"/>
        <v>21</v>
      </c>
      <c r="R20" s="17">
        <v>17</v>
      </c>
      <c r="S20" s="16">
        <f t="shared" si="3"/>
        <v>197.88411584714933</v>
      </c>
      <c r="T20" s="1">
        <f t="shared" si="1"/>
        <v>93</v>
      </c>
    </row>
    <row r="21" spans="1:20" ht="16.5" x14ac:dyDescent="0.3">
      <c r="A21" s="1" t="s">
        <v>6</v>
      </c>
      <c r="B21" s="1"/>
      <c r="C21" s="1"/>
      <c r="D21" s="1"/>
      <c r="E21" s="1">
        <v>300</v>
      </c>
      <c r="I21">
        <v>308.96488701132603</v>
      </c>
      <c r="L21">
        <v>136.96399620180892</v>
      </c>
      <c r="N21" s="17">
        <v>18</v>
      </c>
      <c r="O21" s="16">
        <f t="shared" si="2"/>
        <v>561.42160643413183</v>
      </c>
      <c r="P21" s="15">
        <f t="shared" si="0"/>
        <v>19</v>
      </c>
      <c r="R21" s="17">
        <v>18</v>
      </c>
      <c r="S21" s="16">
        <f t="shared" si="3"/>
        <v>218.48371969172342</v>
      </c>
      <c r="T21" s="1">
        <f t="shared" si="1"/>
        <v>77</v>
      </c>
    </row>
    <row r="22" spans="1:20" ht="16.5" x14ac:dyDescent="0.3">
      <c r="A22" s="1" t="s">
        <v>9</v>
      </c>
      <c r="B22" s="1"/>
      <c r="C22" s="1">
        <v>2000</v>
      </c>
      <c r="D22" s="1">
        <v>2000</v>
      </c>
      <c r="E22" s="1">
        <v>2000</v>
      </c>
      <c r="I22">
        <v>283.11731040955692</v>
      </c>
      <c r="L22">
        <v>209.35171858681986</v>
      </c>
      <c r="N22" s="17">
        <v>19</v>
      </c>
      <c r="O22" s="16">
        <f t="shared" si="2"/>
        <v>603.40530005938683</v>
      </c>
      <c r="P22" s="15">
        <f t="shared" si="0"/>
        <v>6</v>
      </c>
      <c r="R22" s="17">
        <v>19</v>
      </c>
      <c r="S22" s="16">
        <f t="shared" si="3"/>
        <v>239.08332353629751</v>
      </c>
      <c r="T22" s="1">
        <f t="shared" si="1"/>
        <v>86</v>
      </c>
    </row>
    <row r="23" spans="1:20" ht="16.5" x14ac:dyDescent="0.3">
      <c r="A23" s="2" t="s">
        <v>10</v>
      </c>
      <c r="B23" s="2"/>
      <c r="C23" s="20">
        <f ca="1">-NPV(C3,C19)+NPV(C3,MIN(C2,C18)*(C22-C20))</f>
        <v>-171.44621468153554</v>
      </c>
      <c r="D23" s="20">
        <f ca="1">-NPV(C3,0,D19)+NPV(C3,0,MIN(D2,D18)*(D22-D20))</f>
        <v>0</v>
      </c>
      <c r="E23" s="20">
        <f ca="1">NPV(C3,0,0,(MIN(E2,E18)*(E22-E20)+E21))</f>
        <v>706.74175091028337</v>
      </c>
      <c r="I23">
        <v>189.9577586047435</v>
      </c>
      <c r="L23">
        <v>198.3654870035291</v>
      </c>
      <c r="N23" s="17">
        <v>20</v>
      </c>
      <c r="O23" s="16">
        <f t="shared" si="2"/>
        <v>645.38899368464183</v>
      </c>
      <c r="P23" s="15">
        <f t="shared" si="0"/>
        <v>1</v>
      </c>
      <c r="R23" s="17">
        <v>20</v>
      </c>
      <c r="S23" s="16">
        <f t="shared" si="3"/>
        <v>259.6829273808716</v>
      </c>
      <c r="T23" s="1">
        <f t="shared" si="1"/>
        <v>122</v>
      </c>
    </row>
    <row r="24" spans="1:20" x14ac:dyDescent="0.25">
      <c r="A24" s="2" t="s">
        <v>8</v>
      </c>
      <c r="B24" s="20">
        <f ca="1">-B19+SUM(C23:E23)</f>
        <v>235.29553622874778</v>
      </c>
      <c r="C24" s="1"/>
      <c r="D24" s="2"/>
      <c r="E24" s="2"/>
      <c r="I24">
        <v>214.83296780789965</v>
      </c>
      <c r="L24">
        <v>195.6055480920474</v>
      </c>
    </row>
    <row r="25" spans="1:20" x14ac:dyDescent="0.25">
      <c r="I25">
        <v>417.97331258657368</v>
      </c>
      <c r="L25">
        <v>157.41336883344849</v>
      </c>
    </row>
    <row r="26" spans="1:20" x14ac:dyDescent="0.25">
      <c r="F26" s="4"/>
      <c r="G26" s="5" t="s">
        <v>16</v>
      </c>
      <c r="H26" s="6">
        <f>AVERAGE(I4:I1003)</f>
        <v>256.27003439011088</v>
      </c>
      <c r="I26">
        <v>55.977598930160184</v>
      </c>
      <c r="L26">
        <v>210.53386097764161</v>
      </c>
      <c r="N26" t="s">
        <v>21</v>
      </c>
      <c r="O26" s="19">
        <f>(H27-H28)/20</f>
        <v>41.983693625254958</v>
      </c>
      <c r="R26" t="s">
        <v>21</v>
      </c>
      <c r="S26">
        <f>(H30-H31)/20</f>
        <v>20.599603844574098</v>
      </c>
    </row>
    <row r="27" spans="1:20" x14ac:dyDescent="0.25">
      <c r="F27" s="7" t="s">
        <v>17</v>
      </c>
      <c r="G27" s="8" t="s">
        <v>18</v>
      </c>
      <c r="H27" s="9">
        <f>MAX(I4:I1003)</f>
        <v>645.38899368464172</v>
      </c>
      <c r="I27">
        <v>-23.638862830455878</v>
      </c>
      <c r="L27">
        <v>57.58382168901926</v>
      </c>
    </row>
    <row r="28" spans="1:20" x14ac:dyDescent="0.25">
      <c r="F28" s="10"/>
      <c r="G28" s="11" t="s">
        <v>19</v>
      </c>
      <c r="H28" s="9">
        <f>MIN(I5:I1004)</f>
        <v>-194.28487882045738</v>
      </c>
      <c r="I28">
        <v>81.41748226611594</v>
      </c>
      <c r="L28">
        <v>259.68292738087166</v>
      </c>
    </row>
    <row r="29" spans="1:20" x14ac:dyDescent="0.25">
      <c r="F29" s="4"/>
      <c r="G29" s="5" t="s">
        <v>16</v>
      </c>
      <c r="H29" s="6">
        <f>AVERAGE(L4:L1003)</f>
        <v>154.21231616986171</v>
      </c>
      <c r="I29">
        <v>504.18760050720562</v>
      </c>
      <c r="L29">
        <v>259.68292738087166</v>
      </c>
    </row>
    <row r="30" spans="1:20" x14ac:dyDescent="0.25">
      <c r="F30" s="7" t="s">
        <v>20</v>
      </c>
      <c r="G30" s="8" t="s">
        <v>18</v>
      </c>
      <c r="H30" s="6">
        <f>MAX(L5:L1004)</f>
        <v>259.68292738087166</v>
      </c>
      <c r="I30">
        <v>73.915121289125977</v>
      </c>
      <c r="L30">
        <v>259.68292738087166</v>
      </c>
    </row>
    <row r="31" spans="1:20" x14ac:dyDescent="0.25">
      <c r="F31" s="10"/>
      <c r="G31" s="11" t="s">
        <v>19</v>
      </c>
      <c r="H31" s="22">
        <f>MIN(L6:L1005)</f>
        <v>-152.30914951061027</v>
      </c>
      <c r="I31">
        <v>132.60113863958372</v>
      </c>
      <c r="L31">
        <v>242.78947404083806</v>
      </c>
    </row>
    <row r="32" spans="1:20" x14ac:dyDescent="0.25">
      <c r="I32">
        <v>-83.834692649226781</v>
      </c>
      <c r="L32">
        <v>104.11258501192776</v>
      </c>
    </row>
    <row r="33" spans="9:12" x14ac:dyDescent="0.25">
      <c r="I33">
        <v>549.01191480352827</v>
      </c>
      <c r="L33">
        <v>252.08346299872585</v>
      </c>
    </row>
    <row r="34" spans="9:12" x14ac:dyDescent="0.25">
      <c r="I34">
        <v>320.3643961108412</v>
      </c>
      <c r="L34">
        <v>109.47861240159403</v>
      </c>
    </row>
    <row r="35" spans="9:12" x14ac:dyDescent="0.25">
      <c r="I35">
        <v>313.57327246297336</v>
      </c>
      <c r="L35">
        <v>259.68292738087166</v>
      </c>
    </row>
    <row r="36" spans="9:12" x14ac:dyDescent="0.25">
      <c r="I36">
        <v>226.77129128950946</v>
      </c>
      <c r="L36">
        <v>259.68292738087166</v>
      </c>
    </row>
    <row r="37" spans="9:12" x14ac:dyDescent="0.25">
      <c r="I37">
        <v>243.83263482873235</v>
      </c>
      <c r="L37">
        <v>118.0472833206797</v>
      </c>
    </row>
    <row r="38" spans="9:12" x14ac:dyDescent="0.25">
      <c r="I38">
        <v>391.81640436564248</v>
      </c>
      <c r="L38">
        <v>-42.754817722490714</v>
      </c>
    </row>
    <row r="39" spans="9:12" x14ac:dyDescent="0.25">
      <c r="I39">
        <v>486.23933726029918</v>
      </c>
      <c r="L39">
        <v>259.68292738087166</v>
      </c>
    </row>
    <row r="40" spans="9:12" x14ac:dyDescent="0.25">
      <c r="I40">
        <v>361.35067410187685</v>
      </c>
      <c r="L40">
        <v>185.37161270248117</v>
      </c>
    </row>
    <row r="41" spans="9:12" x14ac:dyDescent="0.25">
      <c r="I41">
        <v>336.57339009799966</v>
      </c>
      <c r="L41">
        <v>54.422303955361713</v>
      </c>
    </row>
    <row r="42" spans="9:12" x14ac:dyDescent="0.25">
      <c r="I42">
        <v>315.24504576297682</v>
      </c>
      <c r="L42">
        <v>107.5754040803015</v>
      </c>
    </row>
    <row r="43" spans="9:12" x14ac:dyDescent="0.25">
      <c r="I43">
        <v>90.729603867747983</v>
      </c>
      <c r="L43">
        <v>104.6751599552577</v>
      </c>
    </row>
    <row r="44" spans="9:12" x14ac:dyDescent="0.25">
      <c r="I44">
        <v>482.37261698548718</v>
      </c>
      <c r="L44">
        <v>208.72177484982291</v>
      </c>
    </row>
    <row r="45" spans="9:12" x14ac:dyDescent="0.25">
      <c r="I45">
        <v>364.10354628460482</v>
      </c>
      <c r="L45">
        <v>224.03186601208017</v>
      </c>
    </row>
    <row r="46" spans="9:12" x14ac:dyDescent="0.25">
      <c r="I46">
        <v>278.22799286937789</v>
      </c>
      <c r="L46">
        <v>245.10916862038005</v>
      </c>
    </row>
    <row r="47" spans="9:12" x14ac:dyDescent="0.25">
      <c r="I47">
        <v>511.94606030569798</v>
      </c>
      <c r="L47">
        <v>122.20937354513433</v>
      </c>
    </row>
    <row r="48" spans="9:12" x14ac:dyDescent="0.25">
      <c r="I48">
        <v>351.15528875203972</v>
      </c>
      <c r="L48">
        <v>143.97294887587242</v>
      </c>
    </row>
    <row r="49" spans="9:12" x14ac:dyDescent="0.25">
      <c r="I49">
        <v>-24.348381433603095</v>
      </c>
      <c r="L49">
        <v>203.80033683943157</v>
      </c>
    </row>
    <row r="50" spans="9:12" x14ac:dyDescent="0.25">
      <c r="I50">
        <v>113.92622714261347</v>
      </c>
      <c r="L50">
        <v>28.987187982910314</v>
      </c>
    </row>
    <row r="51" spans="9:12" x14ac:dyDescent="0.25">
      <c r="I51">
        <v>127.88290900652464</v>
      </c>
      <c r="L51">
        <v>202.72617527538472</v>
      </c>
    </row>
    <row r="52" spans="9:12" x14ac:dyDescent="0.25">
      <c r="I52">
        <v>259.17170068323958</v>
      </c>
      <c r="L52">
        <v>188.90139972259982</v>
      </c>
    </row>
    <row r="53" spans="9:12" x14ac:dyDescent="0.25">
      <c r="I53">
        <v>120.07461733645619</v>
      </c>
      <c r="L53">
        <v>259.68292738087166</v>
      </c>
    </row>
    <row r="54" spans="9:12" x14ac:dyDescent="0.25">
      <c r="I54">
        <v>317.55437588962218</v>
      </c>
      <c r="L54">
        <v>136.91642403443655</v>
      </c>
    </row>
    <row r="55" spans="9:12" x14ac:dyDescent="0.25">
      <c r="I55">
        <v>107.49024693471824</v>
      </c>
      <c r="L55">
        <v>75.757947655024282</v>
      </c>
    </row>
    <row r="56" spans="9:12" x14ac:dyDescent="0.25">
      <c r="I56">
        <v>419.89988965300563</v>
      </c>
      <c r="L56">
        <v>184.86544206366415</v>
      </c>
    </row>
    <row r="57" spans="9:12" x14ac:dyDescent="0.25">
      <c r="I57">
        <v>363.76447823360513</v>
      </c>
      <c r="L57">
        <v>259.68292738087166</v>
      </c>
    </row>
    <row r="58" spans="9:12" x14ac:dyDescent="0.25">
      <c r="I58">
        <v>366.74860864280936</v>
      </c>
      <c r="L58">
        <v>199.22248785229408</v>
      </c>
    </row>
    <row r="59" spans="9:12" x14ac:dyDescent="0.25">
      <c r="I59">
        <v>309.53803147326494</v>
      </c>
      <c r="L59">
        <v>-3.6446406512889098</v>
      </c>
    </row>
    <row r="60" spans="9:12" x14ac:dyDescent="0.25">
      <c r="I60">
        <v>396.5457816908804</v>
      </c>
      <c r="L60">
        <v>82.421160952563184</v>
      </c>
    </row>
    <row r="61" spans="9:12" x14ac:dyDescent="0.25">
      <c r="I61">
        <v>323.80374365179932</v>
      </c>
      <c r="L61">
        <v>211.94626928885958</v>
      </c>
    </row>
    <row r="62" spans="9:12" x14ac:dyDescent="0.25">
      <c r="I62">
        <v>12.200624664869338</v>
      </c>
      <c r="L62">
        <v>-58.456009371067694</v>
      </c>
    </row>
    <row r="63" spans="9:12" x14ac:dyDescent="0.25">
      <c r="I63">
        <v>503.28765470367625</v>
      </c>
      <c r="L63">
        <v>259.68292738087166</v>
      </c>
    </row>
    <row r="64" spans="9:12" x14ac:dyDescent="0.25">
      <c r="I64">
        <v>56.529994681440485</v>
      </c>
      <c r="L64">
        <v>217.5848242120187</v>
      </c>
    </row>
    <row r="65" spans="9:12" x14ac:dyDescent="0.25">
      <c r="I65">
        <v>467.13946466854713</v>
      </c>
      <c r="L65">
        <v>256.37239205450487</v>
      </c>
    </row>
    <row r="66" spans="9:12" x14ac:dyDescent="0.25">
      <c r="I66">
        <v>308.75517451690894</v>
      </c>
      <c r="L66">
        <v>247.08347534245092</v>
      </c>
    </row>
    <row r="67" spans="9:12" x14ac:dyDescent="0.25">
      <c r="I67">
        <v>222.06617798790649</v>
      </c>
      <c r="L67">
        <v>157.37764583128012</v>
      </c>
    </row>
    <row r="68" spans="9:12" x14ac:dyDescent="0.25">
      <c r="I68">
        <v>374.32996547008042</v>
      </c>
      <c r="L68">
        <v>118.67703515528569</v>
      </c>
    </row>
    <row r="69" spans="9:12" x14ac:dyDescent="0.25">
      <c r="I69">
        <v>493.80633520760171</v>
      </c>
      <c r="L69">
        <v>151.69387235525869</v>
      </c>
    </row>
    <row r="70" spans="9:12" x14ac:dyDescent="0.25">
      <c r="I70">
        <v>83.259854635298552</v>
      </c>
      <c r="L70">
        <v>259.68292738087166</v>
      </c>
    </row>
    <row r="71" spans="9:12" x14ac:dyDescent="0.25">
      <c r="I71">
        <v>324.61343381097049</v>
      </c>
      <c r="L71">
        <v>63.091344798859097</v>
      </c>
    </row>
    <row r="72" spans="9:12" x14ac:dyDescent="0.25">
      <c r="I72">
        <v>112.20983191726805</v>
      </c>
      <c r="L72">
        <v>218.49591172662076</v>
      </c>
    </row>
    <row r="73" spans="9:12" x14ac:dyDescent="0.25">
      <c r="I73">
        <v>66.693344157159572</v>
      </c>
      <c r="L73">
        <v>141.54608377812843</v>
      </c>
    </row>
    <row r="74" spans="9:12" x14ac:dyDescent="0.25">
      <c r="I74">
        <v>518.56024096021793</v>
      </c>
      <c r="L74">
        <v>139.93836180877588</v>
      </c>
    </row>
    <row r="75" spans="9:12" x14ac:dyDescent="0.25">
      <c r="I75">
        <v>-101.83334187275352</v>
      </c>
      <c r="L75">
        <v>133.14417866902608</v>
      </c>
    </row>
    <row r="76" spans="9:12" x14ac:dyDescent="0.25">
      <c r="I76">
        <v>101.658893145192</v>
      </c>
      <c r="L76">
        <v>259.68292738087166</v>
      </c>
    </row>
    <row r="77" spans="9:12" x14ac:dyDescent="0.25">
      <c r="I77">
        <v>142.37938896640071</v>
      </c>
      <c r="L77">
        <v>205.40469581226517</v>
      </c>
    </row>
    <row r="78" spans="9:12" x14ac:dyDescent="0.25">
      <c r="I78">
        <v>429.25711891005835</v>
      </c>
      <c r="L78">
        <v>221.65544950599156</v>
      </c>
    </row>
    <row r="79" spans="9:12" x14ac:dyDescent="0.25">
      <c r="I79">
        <v>496.78523976155793</v>
      </c>
      <c r="L79">
        <v>34.331169325633141</v>
      </c>
    </row>
    <row r="80" spans="9:12" x14ac:dyDescent="0.25">
      <c r="I80">
        <v>466.16757978269197</v>
      </c>
      <c r="L80">
        <v>212.72980914260017</v>
      </c>
    </row>
    <row r="81" spans="9:12" x14ac:dyDescent="0.25">
      <c r="I81">
        <v>605.60678012862672</v>
      </c>
      <c r="L81">
        <v>194.21372891357953</v>
      </c>
    </row>
    <row r="82" spans="9:12" x14ac:dyDescent="0.25">
      <c r="I82">
        <v>197.16674174556601</v>
      </c>
      <c r="L82">
        <v>17.421749871860925</v>
      </c>
    </row>
    <row r="83" spans="9:12" x14ac:dyDescent="0.25">
      <c r="I83">
        <v>115.03772852509383</v>
      </c>
      <c r="L83">
        <v>256.25059374731211</v>
      </c>
    </row>
    <row r="84" spans="9:12" x14ac:dyDescent="0.25">
      <c r="I84">
        <v>198.80486573507051</v>
      </c>
      <c r="L84">
        <v>45.828247157851649</v>
      </c>
    </row>
    <row r="85" spans="9:12" x14ac:dyDescent="0.25">
      <c r="I85">
        <v>358.46575605910721</v>
      </c>
      <c r="L85">
        <v>92.958961225662165</v>
      </c>
    </row>
    <row r="86" spans="9:12" x14ac:dyDescent="0.25">
      <c r="I86">
        <v>106.97851392693565</v>
      </c>
      <c r="L86">
        <v>213.85430046094234</v>
      </c>
    </row>
    <row r="87" spans="9:12" x14ac:dyDescent="0.25">
      <c r="I87">
        <v>410.09871173424654</v>
      </c>
      <c r="L87">
        <v>259.68292738087166</v>
      </c>
    </row>
    <row r="88" spans="9:12" x14ac:dyDescent="0.25">
      <c r="I88">
        <v>580.03678633684694</v>
      </c>
      <c r="L88">
        <v>45.842055626290517</v>
      </c>
    </row>
    <row r="89" spans="9:12" x14ac:dyDescent="0.25">
      <c r="I89">
        <v>275.26415766089576</v>
      </c>
      <c r="L89">
        <v>228.21852841221619</v>
      </c>
    </row>
    <row r="90" spans="9:12" x14ac:dyDescent="0.25">
      <c r="I90">
        <v>40.1172562481662</v>
      </c>
      <c r="L90">
        <v>259.68292738087166</v>
      </c>
    </row>
    <row r="91" spans="9:12" x14ac:dyDescent="0.25">
      <c r="I91">
        <v>260.94906151632449</v>
      </c>
      <c r="L91">
        <v>220.82436125811046</v>
      </c>
    </row>
    <row r="92" spans="9:12" x14ac:dyDescent="0.25">
      <c r="I92">
        <v>396.23569440773417</v>
      </c>
      <c r="L92">
        <v>216.31734835363568</v>
      </c>
    </row>
    <row r="93" spans="9:12" x14ac:dyDescent="0.25">
      <c r="I93">
        <v>505.82731179193979</v>
      </c>
      <c r="L93">
        <v>69.397058350987834</v>
      </c>
    </row>
    <row r="94" spans="9:12" x14ac:dyDescent="0.25">
      <c r="I94">
        <v>113.43269599576956</v>
      </c>
      <c r="L94">
        <v>77.132239902303013</v>
      </c>
    </row>
    <row r="95" spans="9:12" x14ac:dyDescent="0.25">
      <c r="I95">
        <v>166.15325183718619</v>
      </c>
      <c r="L95">
        <v>112.34552106772634</v>
      </c>
    </row>
    <row r="96" spans="9:12" x14ac:dyDescent="0.25">
      <c r="I96">
        <v>129.64786895293855</v>
      </c>
      <c r="L96">
        <v>259.68292738087166</v>
      </c>
    </row>
    <row r="97" spans="9:12" x14ac:dyDescent="0.25">
      <c r="I97">
        <v>374.82763733662478</v>
      </c>
      <c r="L97">
        <v>199.13405288045328</v>
      </c>
    </row>
    <row r="98" spans="9:12" x14ac:dyDescent="0.25">
      <c r="I98">
        <v>253.92987452423631</v>
      </c>
      <c r="L98">
        <v>132.62488175594069</v>
      </c>
    </row>
    <row r="99" spans="9:12" x14ac:dyDescent="0.25">
      <c r="I99">
        <v>200.6732761179378</v>
      </c>
      <c r="L99">
        <v>194.40879704592101</v>
      </c>
    </row>
    <row r="100" spans="9:12" x14ac:dyDescent="0.25">
      <c r="I100">
        <v>124.28286317158404</v>
      </c>
      <c r="L100">
        <v>176.93737755502917</v>
      </c>
    </row>
    <row r="101" spans="9:12" x14ac:dyDescent="0.25">
      <c r="I101">
        <v>309.18493341548697</v>
      </c>
      <c r="L101">
        <v>259.68292738087166</v>
      </c>
    </row>
    <row r="102" spans="9:12" x14ac:dyDescent="0.25">
      <c r="I102">
        <v>540.44484071936563</v>
      </c>
      <c r="L102">
        <v>204.06285828932886</v>
      </c>
    </row>
    <row r="103" spans="9:12" x14ac:dyDescent="0.25">
      <c r="I103">
        <v>375.11932167414193</v>
      </c>
      <c r="L103">
        <v>247.62507207993031</v>
      </c>
    </row>
    <row r="104" spans="9:12" x14ac:dyDescent="0.25">
      <c r="I104">
        <v>227.31531349448596</v>
      </c>
      <c r="L104">
        <v>-14.685682271025371</v>
      </c>
    </row>
    <row r="105" spans="9:12" x14ac:dyDescent="0.25">
      <c r="I105">
        <v>178.21488827181111</v>
      </c>
      <c r="L105">
        <v>213.35626085213221</v>
      </c>
    </row>
    <row r="106" spans="9:12" x14ac:dyDescent="0.25">
      <c r="I106">
        <v>-8.9651580094239307</v>
      </c>
      <c r="L106">
        <v>259.68292738087166</v>
      </c>
    </row>
    <row r="107" spans="9:12" x14ac:dyDescent="0.25">
      <c r="I107">
        <v>280.92245595157965</v>
      </c>
      <c r="L107">
        <v>161.52326008571112</v>
      </c>
    </row>
    <row r="108" spans="9:12" x14ac:dyDescent="0.25">
      <c r="I108">
        <v>244.24703803345733</v>
      </c>
      <c r="L108">
        <v>259.68292738087166</v>
      </c>
    </row>
    <row r="109" spans="9:12" x14ac:dyDescent="0.25">
      <c r="I109">
        <v>138.80332043448811</v>
      </c>
      <c r="L109">
        <v>185.19073543621442</v>
      </c>
    </row>
    <row r="110" spans="9:12" x14ac:dyDescent="0.25">
      <c r="I110">
        <v>124.53407133366773</v>
      </c>
      <c r="L110">
        <v>259.68292738087166</v>
      </c>
    </row>
    <row r="111" spans="9:12" x14ac:dyDescent="0.25">
      <c r="I111">
        <v>317.26640539035043</v>
      </c>
      <c r="L111">
        <v>200.85907161635907</v>
      </c>
    </row>
    <row r="112" spans="9:12" x14ac:dyDescent="0.25">
      <c r="I112">
        <v>572.31253040226693</v>
      </c>
      <c r="L112">
        <v>6.3743446708905935</v>
      </c>
    </row>
    <row r="113" spans="9:12" x14ac:dyDescent="0.25">
      <c r="I113">
        <v>-82.473953562328006</v>
      </c>
      <c r="L113">
        <v>99.628748530950588</v>
      </c>
    </row>
    <row r="114" spans="9:12" x14ac:dyDescent="0.25">
      <c r="I114">
        <v>211.17957226778162</v>
      </c>
      <c r="L114">
        <v>233.42500347486134</v>
      </c>
    </row>
    <row r="115" spans="9:12" x14ac:dyDescent="0.25">
      <c r="I115">
        <v>58.948523948210777</v>
      </c>
      <c r="L115">
        <v>259.68292738087166</v>
      </c>
    </row>
    <row r="116" spans="9:12" x14ac:dyDescent="0.25">
      <c r="I116">
        <v>74.977649611578727</v>
      </c>
      <c r="L116">
        <v>78.015429001584778</v>
      </c>
    </row>
    <row r="117" spans="9:12" x14ac:dyDescent="0.25">
      <c r="I117">
        <v>170.19302658690481</v>
      </c>
      <c r="L117">
        <v>221.49832241211459</v>
      </c>
    </row>
    <row r="118" spans="9:12" x14ac:dyDescent="0.25">
      <c r="I118">
        <v>548.99695252586389</v>
      </c>
      <c r="L118">
        <v>12.916331275951848</v>
      </c>
    </row>
    <row r="119" spans="9:12" x14ac:dyDescent="0.25">
      <c r="I119">
        <v>447.49583151794468</v>
      </c>
      <c r="L119">
        <v>-22.17238140687499</v>
      </c>
    </row>
    <row r="120" spans="9:12" x14ac:dyDescent="0.25">
      <c r="I120">
        <v>438.44391610559796</v>
      </c>
      <c r="L120">
        <v>85.082569571162992</v>
      </c>
    </row>
    <row r="121" spans="9:12" x14ac:dyDescent="0.25">
      <c r="I121">
        <v>237.41714647488857</v>
      </c>
      <c r="L121">
        <v>246.32839497171813</v>
      </c>
    </row>
    <row r="122" spans="9:12" x14ac:dyDescent="0.25">
      <c r="I122">
        <v>469.06383719992891</v>
      </c>
      <c r="L122">
        <v>130.94403657223569</v>
      </c>
    </row>
    <row r="123" spans="9:12" x14ac:dyDescent="0.25">
      <c r="I123">
        <v>485.0798262573353</v>
      </c>
      <c r="L123">
        <v>98.466098369866529</v>
      </c>
    </row>
    <row r="124" spans="9:12" x14ac:dyDescent="0.25">
      <c r="I124">
        <v>433.06289294278554</v>
      </c>
      <c r="L124">
        <v>259.68292738087166</v>
      </c>
    </row>
    <row r="125" spans="9:12" x14ac:dyDescent="0.25">
      <c r="I125">
        <v>518.92383927122319</v>
      </c>
      <c r="L125">
        <v>149.34074250316769</v>
      </c>
    </row>
    <row r="126" spans="9:12" x14ac:dyDescent="0.25">
      <c r="I126">
        <v>355.39631955084064</v>
      </c>
      <c r="L126">
        <v>180.07772566398398</v>
      </c>
    </row>
    <row r="127" spans="9:12" x14ac:dyDescent="0.25">
      <c r="I127">
        <v>89.831226144338757</v>
      </c>
      <c r="L127">
        <v>151.21936356533189</v>
      </c>
    </row>
    <row r="128" spans="9:12" x14ac:dyDescent="0.25">
      <c r="I128">
        <v>347.25121864275025</v>
      </c>
      <c r="L128">
        <v>116.05155408040429</v>
      </c>
    </row>
    <row r="129" spans="9:12" x14ac:dyDescent="0.25">
      <c r="I129">
        <v>-93.387342542070201</v>
      </c>
      <c r="L129">
        <v>-2.6984471660746294</v>
      </c>
    </row>
    <row r="130" spans="9:12" x14ac:dyDescent="0.25">
      <c r="I130">
        <v>245.07578015173885</v>
      </c>
      <c r="L130">
        <v>239.69789274800121</v>
      </c>
    </row>
    <row r="131" spans="9:12" x14ac:dyDescent="0.25">
      <c r="I131">
        <v>126.48402107871675</v>
      </c>
      <c r="L131">
        <v>152.41373829516385</v>
      </c>
    </row>
    <row r="132" spans="9:12" x14ac:dyDescent="0.25">
      <c r="I132">
        <v>42.942485047802847</v>
      </c>
      <c r="L132">
        <v>107.36941834524862</v>
      </c>
    </row>
    <row r="133" spans="9:12" x14ac:dyDescent="0.25">
      <c r="I133">
        <v>229.42871070098272</v>
      </c>
      <c r="L133">
        <v>259.68292738087166</v>
      </c>
    </row>
    <row r="134" spans="9:12" x14ac:dyDescent="0.25">
      <c r="I134">
        <v>160.00114952432887</v>
      </c>
      <c r="L134">
        <v>191.76884680121668</v>
      </c>
    </row>
    <row r="135" spans="9:12" x14ac:dyDescent="0.25">
      <c r="I135">
        <v>204.18932987326161</v>
      </c>
      <c r="L135">
        <v>152.53029453869306</v>
      </c>
    </row>
    <row r="136" spans="9:12" x14ac:dyDescent="0.25">
      <c r="I136">
        <v>230.37886226547153</v>
      </c>
      <c r="L136">
        <v>258.57466077123047</v>
      </c>
    </row>
    <row r="137" spans="9:12" x14ac:dyDescent="0.25">
      <c r="I137">
        <v>68.287077836331378</v>
      </c>
      <c r="L137">
        <v>29.416085340962468</v>
      </c>
    </row>
    <row r="138" spans="9:12" x14ac:dyDescent="0.25">
      <c r="I138">
        <v>-62.076605550442196</v>
      </c>
      <c r="L138">
        <v>259.68292738087166</v>
      </c>
    </row>
    <row r="139" spans="9:12" x14ac:dyDescent="0.25">
      <c r="I139">
        <v>249.44141493324378</v>
      </c>
      <c r="L139">
        <v>47.03057343758735</v>
      </c>
    </row>
    <row r="140" spans="9:12" x14ac:dyDescent="0.25">
      <c r="I140">
        <v>389.14751283890746</v>
      </c>
      <c r="L140">
        <v>141.97573557687912</v>
      </c>
    </row>
    <row r="141" spans="9:12" x14ac:dyDescent="0.25">
      <c r="I141">
        <v>443.4157084984422</v>
      </c>
      <c r="L141">
        <v>169.56761013055257</v>
      </c>
    </row>
    <row r="142" spans="9:12" x14ac:dyDescent="0.25">
      <c r="I142">
        <v>86.37940787755872</v>
      </c>
      <c r="L142">
        <v>-64.671668151889605</v>
      </c>
    </row>
    <row r="143" spans="9:12" x14ac:dyDescent="0.25">
      <c r="I143">
        <v>410.43215206444256</v>
      </c>
      <c r="L143">
        <v>163.99732445587949</v>
      </c>
    </row>
    <row r="144" spans="9:12" x14ac:dyDescent="0.25">
      <c r="I144">
        <v>344.36580147549671</v>
      </c>
      <c r="L144">
        <v>78.417730812161153</v>
      </c>
    </row>
    <row r="145" spans="9:12" x14ac:dyDescent="0.25">
      <c r="I145">
        <v>341.01492754546371</v>
      </c>
      <c r="L145">
        <v>67.7855617398871</v>
      </c>
    </row>
    <row r="146" spans="9:12" x14ac:dyDescent="0.25">
      <c r="I146">
        <v>427.19932638087948</v>
      </c>
      <c r="L146">
        <v>195.88744531714212</v>
      </c>
    </row>
    <row r="147" spans="9:12" x14ac:dyDescent="0.25">
      <c r="I147">
        <v>321.21102151188211</v>
      </c>
      <c r="L147">
        <v>207.55798182328266</v>
      </c>
    </row>
    <row r="148" spans="9:12" x14ac:dyDescent="0.25">
      <c r="I148">
        <v>201.57312477879736</v>
      </c>
      <c r="L148">
        <v>144.2450324515213</v>
      </c>
    </row>
    <row r="149" spans="9:12" x14ac:dyDescent="0.25">
      <c r="I149">
        <v>232.08557270073015</v>
      </c>
      <c r="L149">
        <v>72.653007864824644</v>
      </c>
    </row>
    <row r="150" spans="9:12" x14ac:dyDescent="0.25">
      <c r="I150">
        <v>9.0281532311239516</v>
      </c>
      <c r="L150">
        <v>-3.6030936411177095</v>
      </c>
    </row>
    <row r="151" spans="9:12" x14ac:dyDescent="0.25">
      <c r="I151">
        <v>294.04242788276224</v>
      </c>
      <c r="L151">
        <v>168.20252371131858</v>
      </c>
    </row>
    <row r="152" spans="9:12" x14ac:dyDescent="0.25">
      <c r="I152">
        <v>476.97501575691331</v>
      </c>
      <c r="L152">
        <v>177.46785536295369</v>
      </c>
    </row>
    <row r="153" spans="9:12" x14ac:dyDescent="0.25">
      <c r="I153">
        <v>352.46770631712434</v>
      </c>
      <c r="L153">
        <v>119.36851187338436</v>
      </c>
    </row>
    <row r="154" spans="9:12" x14ac:dyDescent="0.25">
      <c r="I154">
        <v>170.54279436113848</v>
      </c>
      <c r="L154">
        <v>92.372216330894389</v>
      </c>
    </row>
    <row r="155" spans="9:12" x14ac:dyDescent="0.25">
      <c r="I155">
        <v>466.62440316283596</v>
      </c>
      <c r="L155">
        <v>245.61598283673322</v>
      </c>
    </row>
    <row r="156" spans="9:12" x14ac:dyDescent="0.25">
      <c r="I156">
        <v>224.76799588144286</v>
      </c>
      <c r="L156">
        <v>238.23010397962685</v>
      </c>
    </row>
    <row r="157" spans="9:12" x14ac:dyDescent="0.25">
      <c r="I157">
        <v>383.19594036596436</v>
      </c>
      <c r="L157">
        <v>218.96571600137452</v>
      </c>
    </row>
    <row r="158" spans="9:12" x14ac:dyDescent="0.25">
      <c r="I158">
        <v>254.76732469497006</v>
      </c>
      <c r="L158">
        <v>119.44880051737277</v>
      </c>
    </row>
    <row r="159" spans="9:12" x14ac:dyDescent="0.25">
      <c r="I159">
        <v>89.789531020740696</v>
      </c>
      <c r="L159">
        <v>146.68849883518897</v>
      </c>
    </row>
    <row r="160" spans="9:12" x14ac:dyDescent="0.25">
      <c r="I160">
        <v>293.82736001711828</v>
      </c>
      <c r="L160">
        <v>214.29227825720534</v>
      </c>
    </row>
    <row r="161" spans="9:12" x14ac:dyDescent="0.25">
      <c r="I161">
        <v>368.55124275002072</v>
      </c>
      <c r="L161">
        <v>259.68292738087166</v>
      </c>
    </row>
    <row r="162" spans="9:12" x14ac:dyDescent="0.25">
      <c r="I162">
        <v>286.52941979930119</v>
      </c>
      <c r="L162">
        <v>99.073355517223149</v>
      </c>
    </row>
    <row r="163" spans="9:12" x14ac:dyDescent="0.25">
      <c r="I163">
        <v>104.66836302877891</v>
      </c>
      <c r="L163">
        <v>259.68292738087166</v>
      </c>
    </row>
    <row r="164" spans="9:12" x14ac:dyDescent="0.25">
      <c r="I164">
        <v>323.25300139182309</v>
      </c>
      <c r="L164">
        <v>141.41482498759598</v>
      </c>
    </row>
    <row r="165" spans="9:12" x14ac:dyDescent="0.25">
      <c r="I165">
        <v>95.32263760035039</v>
      </c>
      <c r="L165">
        <v>35.542463596082598</v>
      </c>
    </row>
    <row r="166" spans="9:12" x14ac:dyDescent="0.25">
      <c r="I166">
        <v>439.29145853955697</v>
      </c>
      <c r="L166">
        <v>255.19673939947052</v>
      </c>
    </row>
    <row r="167" spans="9:12" x14ac:dyDescent="0.25">
      <c r="I167">
        <v>248.87143537391739</v>
      </c>
      <c r="L167">
        <v>171.29177024179285</v>
      </c>
    </row>
    <row r="168" spans="9:12" x14ac:dyDescent="0.25">
      <c r="I168">
        <v>126.81893714783882</v>
      </c>
      <c r="L168">
        <v>259.68292738087166</v>
      </c>
    </row>
    <row r="169" spans="9:12" x14ac:dyDescent="0.25">
      <c r="I169">
        <v>42.751407979478358</v>
      </c>
      <c r="L169">
        <v>161.18391615932484</v>
      </c>
    </row>
    <row r="170" spans="9:12" x14ac:dyDescent="0.25">
      <c r="I170">
        <v>89.806032527464367</v>
      </c>
      <c r="L170">
        <v>84.101606731000516</v>
      </c>
    </row>
    <row r="171" spans="9:12" x14ac:dyDescent="0.25">
      <c r="I171">
        <v>413.77642249091195</v>
      </c>
      <c r="L171">
        <v>93.642853122038446</v>
      </c>
    </row>
    <row r="172" spans="9:12" x14ac:dyDescent="0.25">
      <c r="I172">
        <v>139.8871562050067</v>
      </c>
      <c r="L172">
        <v>96.555047555311432</v>
      </c>
    </row>
    <row r="173" spans="9:12" x14ac:dyDescent="0.25">
      <c r="I173">
        <v>622.57949722910644</v>
      </c>
      <c r="L173">
        <v>151.31179361172235</v>
      </c>
    </row>
    <row r="174" spans="9:12" x14ac:dyDescent="0.25">
      <c r="I174">
        <v>347.92329438029492</v>
      </c>
      <c r="L174">
        <v>151.60424301165529</v>
      </c>
    </row>
    <row r="175" spans="9:12" x14ac:dyDescent="0.25">
      <c r="I175">
        <v>350.13955572668874</v>
      </c>
      <c r="L175">
        <v>149.60191607750312</v>
      </c>
    </row>
    <row r="176" spans="9:12" x14ac:dyDescent="0.25">
      <c r="I176">
        <v>334.3196190763324</v>
      </c>
      <c r="L176">
        <v>223.21702929453511</v>
      </c>
    </row>
    <row r="177" spans="9:12" x14ac:dyDescent="0.25">
      <c r="I177">
        <v>446.04537205645147</v>
      </c>
      <c r="L177">
        <v>187.36304077647225</v>
      </c>
    </row>
    <row r="178" spans="9:12" x14ac:dyDescent="0.25">
      <c r="I178">
        <v>259.74691626325989</v>
      </c>
      <c r="L178">
        <v>-33.742227138455178</v>
      </c>
    </row>
    <row r="179" spans="9:12" x14ac:dyDescent="0.25">
      <c r="I179">
        <v>255.33376950177239</v>
      </c>
      <c r="L179">
        <v>239.09518995200187</v>
      </c>
    </row>
    <row r="180" spans="9:12" x14ac:dyDescent="0.25">
      <c r="I180">
        <v>20.985258518178853</v>
      </c>
      <c r="L180">
        <v>239.70108278226178</v>
      </c>
    </row>
    <row r="181" spans="9:12" x14ac:dyDescent="0.25">
      <c r="I181">
        <v>259.65405204144054</v>
      </c>
      <c r="L181">
        <v>15.519680458421362</v>
      </c>
    </row>
    <row r="182" spans="9:12" x14ac:dyDescent="0.25">
      <c r="I182">
        <v>389.12704885652101</v>
      </c>
      <c r="L182">
        <v>54.021619572062036</v>
      </c>
    </row>
    <row r="183" spans="9:12" x14ac:dyDescent="0.25">
      <c r="I183">
        <v>149.26629432207187</v>
      </c>
      <c r="L183">
        <v>49.963034765303064</v>
      </c>
    </row>
    <row r="184" spans="9:12" x14ac:dyDescent="0.25">
      <c r="I184">
        <v>377.95747165913667</v>
      </c>
      <c r="L184">
        <v>67.666732673294518</v>
      </c>
    </row>
    <row r="185" spans="9:12" x14ac:dyDescent="0.25">
      <c r="I185">
        <v>489.64639811906181</v>
      </c>
      <c r="L185">
        <v>75.462218462065664</v>
      </c>
    </row>
    <row r="186" spans="9:12" x14ac:dyDescent="0.25">
      <c r="I186">
        <v>386.4180417288253</v>
      </c>
      <c r="L186">
        <v>196.78563083161634</v>
      </c>
    </row>
    <row r="187" spans="9:12" x14ac:dyDescent="0.25">
      <c r="I187">
        <v>258.49510627718314</v>
      </c>
      <c r="L187">
        <v>230.7336054405564</v>
      </c>
    </row>
    <row r="188" spans="9:12" x14ac:dyDescent="0.25">
      <c r="I188">
        <v>39.535722861719023</v>
      </c>
      <c r="L188">
        <v>179.67647021623412</v>
      </c>
    </row>
    <row r="189" spans="9:12" x14ac:dyDescent="0.25">
      <c r="I189">
        <v>566.75806527491613</v>
      </c>
      <c r="L189">
        <v>67.161781950751219</v>
      </c>
    </row>
    <row r="190" spans="9:12" x14ac:dyDescent="0.25">
      <c r="I190">
        <v>403.446163024817</v>
      </c>
      <c r="L190">
        <v>37.118039310653614</v>
      </c>
    </row>
    <row r="191" spans="9:12" x14ac:dyDescent="0.25">
      <c r="I191">
        <v>239.41464935455429</v>
      </c>
      <c r="L191">
        <v>30.258978319066046</v>
      </c>
    </row>
    <row r="192" spans="9:12" x14ac:dyDescent="0.25">
      <c r="I192">
        <v>305.29078572890512</v>
      </c>
      <c r="L192">
        <v>259.68292738087166</v>
      </c>
    </row>
    <row r="193" spans="9:12" x14ac:dyDescent="0.25">
      <c r="I193">
        <v>324.17988592380402</v>
      </c>
      <c r="L193">
        <v>208.96811747997339</v>
      </c>
    </row>
    <row r="194" spans="9:12" x14ac:dyDescent="0.25">
      <c r="I194">
        <v>14.15288357307918</v>
      </c>
      <c r="L194">
        <v>253.93843448455027</v>
      </c>
    </row>
    <row r="195" spans="9:12" x14ac:dyDescent="0.25">
      <c r="I195">
        <v>218.58373468884474</v>
      </c>
      <c r="L195">
        <v>240.11249247153501</v>
      </c>
    </row>
    <row r="196" spans="9:12" x14ac:dyDescent="0.25">
      <c r="I196">
        <v>77.054347414991412</v>
      </c>
      <c r="L196">
        <v>165.98118124252903</v>
      </c>
    </row>
    <row r="197" spans="9:12" x14ac:dyDescent="0.25">
      <c r="I197">
        <v>338.03921727905163</v>
      </c>
      <c r="L197">
        <v>140.51730084155719</v>
      </c>
    </row>
    <row r="198" spans="9:12" x14ac:dyDescent="0.25">
      <c r="I198">
        <v>86.257083104184517</v>
      </c>
      <c r="L198">
        <v>245.94979800202839</v>
      </c>
    </row>
    <row r="199" spans="9:12" x14ac:dyDescent="0.25">
      <c r="I199">
        <v>27.058437163062081</v>
      </c>
      <c r="L199">
        <v>217.13570224127511</v>
      </c>
    </row>
    <row r="200" spans="9:12" x14ac:dyDescent="0.25">
      <c r="I200">
        <v>176.17800138241046</v>
      </c>
      <c r="L200">
        <v>258.71165518431394</v>
      </c>
    </row>
    <row r="201" spans="9:12" x14ac:dyDescent="0.25">
      <c r="I201">
        <v>362.400065247567</v>
      </c>
      <c r="L201">
        <v>214.04916501103946</v>
      </c>
    </row>
    <row r="202" spans="9:12" x14ac:dyDescent="0.25">
      <c r="I202">
        <v>192.4468456968898</v>
      </c>
      <c r="L202">
        <v>194.48857052897614</v>
      </c>
    </row>
    <row r="203" spans="9:12" x14ac:dyDescent="0.25">
      <c r="I203">
        <v>252.28685938914168</v>
      </c>
      <c r="L203">
        <v>-16.651803367605908</v>
      </c>
    </row>
    <row r="204" spans="9:12" x14ac:dyDescent="0.25">
      <c r="I204">
        <v>295.7877971084722</v>
      </c>
      <c r="L204">
        <v>215.76076513779833</v>
      </c>
    </row>
    <row r="205" spans="9:12" x14ac:dyDescent="0.25">
      <c r="I205">
        <v>72.238357528086112</v>
      </c>
      <c r="L205">
        <v>123.27214913498392</v>
      </c>
    </row>
    <row r="206" spans="9:12" x14ac:dyDescent="0.25">
      <c r="I206">
        <v>206.71736066539961</v>
      </c>
      <c r="L206">
        <v>259.68292738087166</v>
      </c>
    </row>
    <row r="207" spans="9:12" x14ac:dyDescent="0.25">
      <c r="I207">
        <v>500.14839860180928</v>
      </c>
      <c r="L207">
        <v>-15.591208829370203</v>
      </c>
    </row>
    <row r="208" spans="9:12" x14ac:dyDescent="0.25">
      <c r="I208">
        <v>319.48845920515396</v>
      </c>
      <c r="L208">
        <v>21.364772221055887</v>
      </c>
    </row>
    <row r="209" spans="9:12" x14ac:dyDescent="0.25">
      <c r="I209">
        <v>271.41684872072483</v>
      </c>
      <c r="L209">
        <v>252.06293212761818</v>
      </c>
    </row>
    <row r="210" spans="9:12" x14ac:dyDescent="0.25">
      <c r="I210">
        <v>482.74941807864479</v>
      </c>
      <c r="L210">
        <v>206.1709885630795</v>
      </c>
    </row>
    <row r="211" spans="9:12" x14ac:dyDescent="0.25">
      <c r="I211">
        <v>490.49241733458621</v>
      </c>
      <c r="L211">
        <v>213.23496250995254</v>
      </c>
    </row>
    <row r="212" spans="9:12" x14ac:dyDescent="0.25">
      <c r="I212">
        <v>454.06685621494989</v>
      </c>
      <c r="L212">
        <v>95.204736882351256</v>
      </c>
    </row>
    <row r="213" spans="9:12" x14ac:dyDescent="0.25">
      <c r="I213">
        <v>265.14040615427257</v>
      </c>
      <c r="L213">
        <v>56.750386998662066</v>
      </c>
    </row>
    <row r="214" spans="9:12" x14ac:dyDescent="0.25">
      <c r="I214">
        <v>107.97986875172296</v>
      </c>
      <c r="L214">
        <v>259.68292738087166</v>
      </c>
    </row>
    <row r="215" spans="9:12" x14ac:dyDescent="0.25">
      <c r="I215">
        <v>265.7140382194516</v>
      </c>
      <c r="L215">
        <v>7.8073559376511525</v>
      </c>
    </row>
    <row r="216" spans="9:12" x14ac:dyDescent="0.25">
      <c r="I216">
        <v>111.31408324731683</v>
      </c>
      <c r="L216">
        <v>259.68292738087166</v>
      </c>
    </row>
    <row r="217" spans="9:12" x14ac:dyDescent="0.25">
      <c r="I217">
        <v>591.66471253924237</v>
      </c>
      <c r="L217">
        <v>259.57775154446199</v>
      </c>
    </row>
    <row r="218" spans="9:12" x14ac:dyDescent="0.25">
      <c r="I218">
        <v>130.41716370612403</v>
      </c>
      <c r="L218">
        <v>181.9133529460409</v>
      </c>
    </row>
    <row r="219" spans="9:12" x14ac:dyDescent="0.25">
      <c r="I219">
        <v>41.736155592364412</v>
      </c>
      <c r="L219">
        <v>189.16440206850729</v>
      </c>
    </row>
    <row r="220" spans="9:12" x14ac:dyDescent="0.25">
      <c r="I220">
        <v>190.5979259196904</v>
      </c>
      <c r="L220">
        <v>-152.30914951061027</v>
      </c>
    </row>
    <row r="221" spans="9:12" x14ac:dyDescent="0.25">
      <c r="I221">
        <v>177.02120808838481</v>
      </c>
      <c r="L221">
        <v>229.1584127739377</v>
      </c>
    </row>
    <row r="222" spans="9:12" x14ac:dyDescent="0.25">
      <c r="I222">
        <v>167.91306568485334</v>
      </c>
      <c r="L222">
        <v>-22.726903820685379</v>
      </c>
    </row>
    <row r="223" spans="9:12" x14ac:dyDescent="0.25">
      <c r="I223">
        <v>55.064597659619949</v>
      </c>
      <c r="L223">
        <v>259.68292738087166</v>
      </c>
    </row>
    <row r="224" spans="9:12" x14ac:dyDescent="0.25">
      <c r="I224">
        <v>504.51926428802608</v>
      </c>
      <c r="L224">
        <v>-72.953753891194879</v>
      </c>
    </row>
    <row r="225" spans="9:12" x14ac:dyDescent="0.25">
      <c r="I225">
        <v>77.498980947841119</v>
      </c>
      <c r="L225">
        <v>259.68292738087166</v>
      </c>
    </row>
    <row r="226" spans="9:12" x14ac:dyDescent="0.25">
      <c r="I226">
        <v>365.57766597868158</v>
      </c>
      <c r="L226">
        <v>258.70668988290174</v>
      </c>
    </row>
    <row r="227" spans="9:12" x14ac:dyDescent="0.25">
      <c r="I227">
        <v>341.2712044091179</v>
      </c>
      <c r="L227">
        <v>-57.226217323307253</v>
      </c>
    </row>
    <row r="228" spans="9:12" x14ac:dyDescent="0.25">
      <c r="I228">
        <v>161.43295897444091</v>
      </c>
      <c r="L228">
        <v>87.513670486945557</v>
      </c>
    </row>
    <row r="229" spans="9:12" x14ac:dyDescent="0.25">
      <c r="I229">
        <v>-5.9533877413649634</v>
      </c>
      <c r="L229">
        <v>15.423707472223327</v>
      </c>
    </row>
    <row r="230" spans="9:12" x14ac:dyDescent="0.25">
      <c r="I230">
        <v>278.07141646187483</v>
      </c>
      <c r="L230">
        <v>221.83688419284999</v>
      </c>
    </row>
    <row r="231" spans="9:12" x14ac:dyDescent="0.25">
      <c r="I231">
        <v>125.79295306992299</v>
      </c>
      <c r="L231">
        <v>79.484713468329517</v>
      </c>
    </row>
    <row r="232" spans="9:12" x14ac:dyDescent="0.25">
      <c r="I232">
        <v>108.67292019010495</v>
      </c>
      <c r="L232">
        <v>60.223863469317507</v>
      </c>
    </row>
    <row r="233" spans="9:12" x14ac:dyDescent="0.25">
      <c r="I233">
        <v>230.26252498990334</v>
      </c>
      <c r="L233">
        <v>84.764949831533784</v>
      </c>
    </row>
    <row r="234" spans="9:12" x14ac:dyDescent="0.25">
      <c r="I234">
        <v>127.99020429557663</v>
      </c>
      <c r="L234">
        <v>65.3457820596945</v>
      </c>
    </row>
    <row r="235" spans="9:12" x14ac:dyDescent="0.25">
      <c r="I235">
        <v>274.5398979652407</v>
      </c>
      <c r="L235">
        <v>131.63090222181711</v>
      </c>
    </row>
    <row r="236" spans="9:12" x14ac:dyDescent="0.25">
      <c r="I236">
        <v>205.25032829658176</v>
      </c>
      <c r="L236">
        <v>41.776855408266215</v>
      </c>
    </row>
    <row r="237" spans="9:12" x14ac:dyDescent="0.25">
      <c r="I237">
        <v>300.01634297278724</v>
      </c>
      <c r="L237">
        <v>112.95811239272041</v>
      </c>
    </row>
    <row r="238" spans="9:12" x14ac:dyDescent="0.25">
      <c r="I238">
        <v>355.48316353327709</v>
      </c>
      <c r="L238">
        <v>186.44874002853527</v>
      </c>
    </row>
    <row r="239" spans="9:12" x14ac:dyDescent="0.25">
      <c r="I239">
        <v>-17.043959449503632</v>
      </c>
      <c r="L239">
        <v>248.07523340787395</v>
      </c>
    </row>
    <row r="240" spans="9:12" x14ac:dyDescent="0.25">
      <c r="I240">
        <v>40.922102773799679</v>
      </c>
      <c r="L240">
        <v>220.50686995530373</v>
      </c>
    </row>
    <row r="241" spans="9:12" x14ac:dyDescent="0.25">
      <c r="I241">
        <v>101.40378079601658</v>
      </c>
      <c r="L241">
        <v>178.30542694342716</v>
      </c>
    </row>
    <row r="242" spans="9:12" x14ac:dyDescent="0.25">
      <c r="I242">
        <v>207.86717582469964</v>
      </c>
      <c r="L242">
        <v>215.93714985896963</v>
      </c>
    </row>
    <row r="243" spans="9:12" x14ac:dyDescent="0.25">
      <c r="I243">
        <v>377.13061838754311</v>
      </c>
      <c r="L243">
        <v>259.68292738087166</v>
      </c>
    </row>
    <row r="244" spans="9:12" x14ac:dyDescent="0.25">
      <c r="I244">
        <v>95.138643786604916</v>
      </c>
      <c r="L244">
        <v>259.68292738087166</v>
      </c>
    </row>
    <row r="245" spans="9:12" x14ac:dyDescent="0.25">
      <c r="I245">
        <v>289.58485939523007</v>
      </c>
      <c r="L245">
        <v>256.69129177850891</v>
      </c>
    </row>
    <row r="246" spans="9:12" x14ac:dyDescent="0.25">
      <c r="I246">
        <v>169.36762112502083</v>
      </c>
      <c r="L246">
        <v>52.942461842912962</v>
      </c>
    </row>
    <row r="247" spans="9:12" x14ac:dyDescent="0.25">
      <c r="I247">
        <v>309.15904708320522</v>
      </c>
      <c r="L247">
        <v>247.24654560399767</v>
      </c>
    </row>
    <row r="248" spans="9:12" x14ac:dyDescent="0.25">
      <c r="I248">
        <v>229.40080349329719</v>
      </c>
      <c r="L248">
        <v>259.68292738087166</v>
      </c>
    </row>
    <row r="249" spans="9:12" x14ac:dyDescent="0.25">
      <c r="I249">
        <v>378.28527931464691</v>
      </c>
      <c r="L249">
        <v>144.42336693793146</v>
      </c>
    </row>
    <row r="250" spans="9:12" x14ac:dyDescent="0.25">
      <c r="I250">
        <v>147.7027104964327</v>
      </c>
      <c r="L250">
        <v>132.77707352848483</v>
      </c>
    </row>
    <row r="251" spans="9:12" x14ac:dyDescent="0.25">
      <c r="I251">
        <v>283.1775296631622</v>
      </c>
      <c r="L251">
        <v>120.73258608286687</v>
      </c>
    </row>
    <row r="252" spans="9:12" x14ac:dyDescent="0.25">
      <c r="I252">
        <v>429.80478485204458</v>
      </c>
      <c r="L252">
        <v>55.77951669276564</v>
      </c>
    </row>
    <row r="253" spans="9:12" x14ac:dyDescent="0.25">
      <c r="I253">
        <v>470.99880865267642</v>
      </c>
      <c r="L253">
        <v>183.21899119030104</v>
      </c>
    </row>
    <row r="254" spans="9:12" x14ac:dyDescent="0.25">
      <c r="I254">
        <v>196.9191127696372</v>
      </c>
      <c r="L254">
        <v>179.94740004845431</v>
      </c>
    </row>
    <row r="255" spans="9:12" x14ac:dyDescent="0.25">
      <c r="I255">
        <v>112.41703266026047</v>
      </c>
      <c r="L255">
        <v>-35.072539444422659</v>
      </c>
    </row>
    <row r="256" spans="9:12" x14ac:dyDescent="0.25">
      <c r="I256">
        <v>-75.128180954875461</v>
      </c>
      <c r="L256">
        <v>189.61307379699895</v>
      </c>
    </row>
    <row r="257" spans="9:12" x14ac:dyDescent="0.25">
      <c r="I257">
        <v>481.42028443623349</v>
      </c>
      <c r="L257">
        <v>180.4205121722382</v>
      </c>
    </row>
    <row r="258" spans="9:12" x14ac:dyDescent="0.25">
      <c r="I258">
        <v>242.86110182253378</v>
      </c>
      <c r="L258">
        <v>69.643972782516187</v>
      </c>
    </row>
    <row r="259" spans="9:12" x14ac:dyDescent="0.25">
      <c r="I259">
        <v>49.879330971115792</v>
      </c>
      <c r="L259">
        <v>125.65368084015216</v>
      </c>
    </row>
    <row r="260" spans="9:12" x14ac:dyDescent="0.25">
      <c r="I260">
        <v>145.16993327131649</v>
      </c>
      <c r="L260">
        <v>-47.427648948036165</v>
      </c>
    </row>
    <row r="261" spans="9:12" x14ac:dyDescent="0.25">
      <c r="I261">
        <v>358.71616050596413</v>
      </c>
      <c r="L261">
        <v>259.68292738087166</v>
      </c>
    </row>
    <row r="262" spans="9:12" x14ac:dyDescent="0.25">
      <c r="I262">
        <v>460.78134490012599</v>
      </c>
      <c r="L262">
        <v>218.12826414818346</v>
      </c>
    </row>
    <row r="263" spans="9:12" x14ac:dyDescent="0.25">
      <c r="I263">
        <v>158.16165162059588</v>
      </c>
      <c r="L263">
        <v>216.52139371973612</v>
      </c>
    </row>
    <row r="264" spans="9:12" x14ac:dyDescent="0.25">
      <c r="I264">
        <v>234.03756116921204</v>
      </c>
      <c r="L264">
        <v>160.80249751959752</v>
      </c>
    </row>
    <row r="265" spans="9:12" x14ac:dyDescent="0.25">
      <c r="I265">
        <v>225.81440297980271</v>
      </c>
      <c r="L265">
        <v>126.88808730572975</v>
      </c>
    </row>
    <row r="266" spans="9:12" x14ac:dyDescent="0.25">
      <c r="I266">
        <v>249.98014747763</v>
      </c>
      <c r="L266">
        <v>154.12670198004332</v>
      </c>
    </row>
    <row r="267" spans="9:12" x14ac:dyDescent="0.25">
      <c r="I267">
        <v>179.51546453430524</v>
      </c>
      <c r="L267">
        <v>188.24982668476241</v>
      </c>
    </row>
    <row r="268" spans="9:12" x14ac:dyDescent="0.25">
      <c r="I268">
        <v>467.79951227900347</v>
      </c>
      <c r="L268">
        <v>185.52744723801362</v>
      </c>
    </row>
    <row r="269" spans="9:12" x14ac:dyDescent="0.25">
      <c r="I269">
        <v>416.6053469282142</v>
      </c>
      <c r="L269">
        <v>237.4192822003763</v>
      </c>
    </row>
    <row r="270" spans="9:12" x14ac:dyDescent="0.25">
      <c r="I270">
        <v>127.01155897045692</v>
      </c>
      <c r="L270">
        <v>232.62563315994987</v>
      </c>
    </row>
    <row r="271" spans="9:12" x14ac:dyDescent="0.25">
      <c r="I271">
        <v>264.71188079742478</v>
      </c>
      <c r="L271">
        <v>99.40616229655302</v>
      </c>
    </row>
    <row r="272" spans="9:12" x14ac:dyDescent="0.25">
      <c r="I272">
        <v>329.92738988262408</v>
      </c>
      <c r="L272">
        <v>78.068996793723159</v>
      </c>
    </row>
    <row r="273" spans="9:12" x14ac:dyDescent="0.25">
      <c r="I273">
        <v>73.214290066653575</v>
      </c>
      <c r="L273">
        <v>198.21830827833327</v>
      </c>
    </row>
    <row r="274" spans="9:12" x14ac:dyDescent="0.25">
      <c r="I274">
        <v>342.92484250562757</v>
      </c>
      <c r="L274">
        <v>225.90726462310215</v>
      </c>
    </row>
    <row r="275" spans="9:12" x14ac:dyDescent="0.25">
      <c r="I275">
        <v>194.79617302587531</v>
      </c>
      <c r="L275">
        <v>235.77741759439016</v>
      </c>
    </row>
    <row r="276" spans="9:12" x14ac:dyDescent="0.25">
      <c r="I276">
        <v>152.931376034511</v>
      </c>
      <c r="L276">
        <v>83.93476918558531</v>
      </c>
    </row>
    <row r="277" spans="9:12" x14ac:dyDescent="0.25">
      <c r="I277">
        <v>97.240686003705378</v>
      </c>
      <c r="L277">
        <v>66.980769311835729</v>
      </c>
    </row>
    <row r="278" spans="9:12" x14ac:dyDescent="0.25">
      <c r="I278">
        <v>177.50675637188579</v>
      </c>
      <c r="L278">
        <v>259.68292738087166</v>
      </c>
    </row>
    <row r="279" spans="9:12" x14ac:dyDescent="0.25">
      <c r="I279">
        <v>92.17682324511884</v>
      </c>
      <c r="L279">
        <v>215.5068624611788</v>
      </c>
    </row>
    <row r="280" spans="9:12" x14ac:dyDescent="0.25">
      <c r="I280">
        <v>222.27165843568446</v>
      </c>
      <c r="L280">
        <v>259.68292738087166</v>
      </c>
    </row>
    <row r="281" spans="9:12" x14ac:dyDescent="0.25">
      <c r="I281">
        <v>203.99544432608718</v>
      </c>
      <c r="L281">
        <v>237.0636612185051</v>
      </c>
    </row>
    <row r="282" spans="9:12" x14ac:dyDescent="0.25">
      <c r="I282">
        <v>307.04072128444386</v>
      </c>
      <c r="L282">
        <v>132.43288798322305</v>
      </c>
    </row>
    <row r="283" spans="9:12" x14ac:dyDescent="0.25">
      <c r="I283">
        <v>272.08046178417726</v>
      </c>
      <c r="L283">
        <v>-56.094444775557406</v>
      </c>
    </row>
    <row r="284" spans="9:12" x14ac:dyDescent="0.25">
      <c r="I284">
        <v>100.11952978911154</v>
      </c>
      <c r="L284">
        <v>152.3902636404593</v>
      </c>
    </row>
    <row r="285" spans="9:12" x14ac:dyDescent="0.25">
      <c r="I285">
        <v>-41.761765161604444</v>
      </c>
      <c r="L285">
        <v>256.07384025020951</v>
      </c>
    </row>
    <row r="286" spans="9:12" x14ac:dyDescent="0.25">
      <c r="I286">
        <v>161.50810487624403</v>
      </c>
      <c r="L286">
        <v>34.991828302428701</v>
      </c>
    </row>
    <row r="287" spans="9:12" x14ac:dyDescent="0.25">
      <c r="I287">
        <v>101.84796624315777</v>
      </c>
      <c r="L287">
        <v>200.45458629240954</v>
      </c>
    </row>
    <row r="288" spans="9:12" x14ac:dyDescent="0.25">
      <c r="I288">
        <v>305.80902561931521</v>
      </c>
      <c r="L288">
        <v>84.078477333749845</v>
      </c>
    </row>
    <row r="289" spans="9:12" x14ac:dyDescent="0.25">
      <c r="I289">
        <v>408.34728985071479</v>
      </c>
      <c r="L289">
        <v>34.071717909865697</v>
      </c>
    </row>
    <row r="290" spans="9:12" x14ac:dyDescent="0.25">
      <c r="I290">
        <v>241.67724632248769</v>
      </c>
      <c r="L290">
        <v>236.20124894610478</v>
      </c>
    </row>
    <row r="291" spans="9:12" x14ac:dyDescent="0.25">
      <c r="I291">
        <v>538.091872088728</v>
      </c>
      <c r="L291">
        <v>-92.436172166637846</v>
      </c>
    </row>
    <row r="292" spans="9:12" x14ac:dyDescent="0.25">
      <c r="I292">
        <v>413.92498799748842</v>
      </c>
      <c r="L292">
        <v>161.83655042089282</v>
      </c>
    </row>
    <row r="293" spans="9:12" x14ac:dyDescent="0.25">
      <c r="I293">
        <v>447.83683017028761</v>
      </c>
      <c r="L293">
        <v>148.14583768671355</v>
      </c>
    </row>
    <row r="294" spans="9:12" x14ac:dyDescent="0.25">
      <c r="I294">
        <v>427.65500259757891</v>
      </c>
      <c r="L294">
        <v>215.53219457232854</v>
      </c>
    </row>
    <row r="295" spans="9:12" x14ac:dyDescent="0.25">
      <c r="I295">
        <v>246.89681711368121</v>
      </c>
      <c r="L295">
        <v>104.25359572774801</v>
      </c>
    </row>
    <row r="296" spans="9:12" x14ac:dyDescent="0.25">
      <c r="I296">
        <v>231.58958382481637</v>
      </c>
      <c r="L296">
        <v>210.42819765299083</v>
      </c>
    </row>
    <row r="297" spans="9:12" x14ac:dyDescent="0.25">
      <c r="I297">
        <v>55.941427932998522</v>
      </c>
      <c r="L297">
        <v>61.092857469595629</v>
      </c>
    </row>
    <row r="298" spans="9:12" x14ac:dyDescent="0.25">
      <c r="I298">
        <v>551.40020639725572</v>
      </c>
      <c r="L298">
        <v>70.493138614602287</v>
      </c>
    </row>
    <row r="299" spans="9:12" x14ac:dyDescent="0.25">
      <c r="I299">
        <v>339.25783675310186</v>
      </c>
      <c r="L299">
        <v>135.80789047905864</v>
      </c>
    </row>
    <row r="300" spans="9:12" x14ac:dyDescent="0.25">
      <c r="I300">
        <v>63.858744145885908</v>
      </c>
      <c r="L300">
        <v>5.6726162800507609</v>
      </c>
    </row>
    <row r="301" spans="9:12" x14ac:dyDescent="0.25">
      <c r="I301">
        <v>239.44153288299026</v>
      </c>
      <c r="L301">
        <v>192.06267541311666</v>
      </c>
    </row>
    <row r="302" spans="9:12" x14ac:dyDescent="0.25">
      <c r="I302">
        <v>313.7331733098531</v>
      </c>
      <c r="L302">
        <v>218.6045408503453</v>
      </c>
    </row>
    <row r="303" spans="9:12" x14ac:dyDescent="0.25">
      <c r="I303">
        <v>336.64194072934697</v>
      </c>
      <c r="L303">
        <v>-34.346778826728837</v>
      </c>
    </row>
    <row r="304" spans="9:12" x14ac:dyDescent="0.25">
      <c r="I304">
        <v>543.14358242335948</v>
      </c>
      <c r="L304">
        <v>46.060569200417149</v>
      </c>
    </row>
    <row r="305" spans="9:12" x14ac:dyDescent="0.25">
      <c r="I305">
        <v>442.65743626046242</v>
      </c>
      <c r="L305">
        <v>-69.582576465341447</v>
      </c>
    </row>
    <row r="306" spans="9:12" x14ac:dyDescent="0.25">
      <c r="I306">
        <v>274.36385061171472</v>
      </c>
      <c r="L306">
        <v>-15.734368786263758</v>
      </c>
    </row>
    <row r="307" spans="9:12" x14ac:dyDescent="0.25">
      <c r="I307">
        <v>46.902625589638774</v>
      </c>
      <c r="L307">
        <v>60.869388282795683</v>
      </c>
    </row>
    <row r="308" spans="9:12" x14ac:dyDescent="0.25">
      <c r="I308">
        <v>-108.4319591116996</v>
      </c>
      <c r="L308">
        <v>164.36530192655761</v>
      </c>
    </row>
    <row r="309" spans="9:12" x14ac:dyDescent="0.25">
      <c r="I309">
        <v>190.67490516248631</v>
      </c>
      <c r="L309">
        <v>259.68292738087166</v>
      </c>
    </row>
    <row r="310" spans="9:12" x14ac:dyDescent="0.25">
      <c r="I310">
        <v>277.48507834668908</v>
      </c>
      <c r="L310">
        <v>251.60669544611187</v>
      </c>
    </row>
    <row r="311" spans="9:12" x14ac:dyDescent="0.25">
      <c r="I311">
        <v>604.92240121107579</v>
      </c>
      <c r="L311">
        <v>60.10085889632694</v>
      </c>
    </row>
    <row r="312" spans="9:12" x14ac:dyDescent="0.25">
      <c r="I312">
        <v>175.15332695583675</v>
      </c>
      <c r="L312">
        <v>69.360448099946495</v>
      </c>
    </row>
    <row r="313" spans="9:12" x14ac:dyDescent="0.25">
      <c r="I313">
        <v>378.04377053018425</v>
      </c>
      <c r="L313">
        <v>157.42681414058131</v>
      </c>
    </row>
    <row r="314" spans="9:12" x14ac:dyDescent="0.25">
      <c r="I314">
        <v>-3.6965213589237464</v>
      </c>
      <c r="L314">
        <v>221.90394531398078</v>
      </c>
    </row>
    <row r="315" spans="9:12" x14ac:dyDescent="0.25">
      <c r="I315">
        <v>149.67088543200043</v>
      </c>
      <c r="L315">
        <v>59.139978944898644</v>
      </c>
    </row>
    <row r="316" spans="9:12" x14ac:dyDescent="0.25">
      <c r="I316">
        <v>481.16709922971745</v>
      </c>
      <c r="L316">
        <v>259.68292738087166</v>
      </c>
    </row>
    <row r="317" spans="9:12" x14ac:dyDescent="0.25">
      <c r="I317">
        <v>341.65359317251523</v>
      </c>
      <c r="L317">
        <v>143.24814179792935</v>
      </c>
    </row>
    <row r="318" spans="9:12" x14ac:dyDescent="0.25">
      <c r="I318">
        <v>285.68411209118744</v>
      </c>
      <c r="L318">
        <v>210.71469415260901</v>
      </c>
    </row>
    <row r="319" spans="9:12" x14ac:dyDescent="0.25">
      <c r="I319">
        <v>125.25557711035799</v>
      </c>
      <c r="L319">
        <v>61.183918618709129</v>
      </c>
    </row>
    <row r="320" spans="9:12" x14ac:dyDescent="0.25">
      <c r="I320">
        <v>381.16245215001777</v>
      </c>
      <c r="L320">
        <v>0.70754063637514264</v>
      </c>
    </row>
    <row r="321" spans="9:12" x14ac:dyDescent="0.25">
      <c r="I321">
        <v>374.7057615153476</v>
      </c>
      <c r="L321">
        <v>193.49847947454691</v>
      </c>
    </row>
    <row r="322" spans="9:12" x14ac:dyDescent="0.25">
      <c r="I322">
        <v>203.62675008889255</v>
      </c>
      <c r="L322">
        <v>-25.236013510371663</v>
      </c>
    </row>
    <row r="323" spans="9:12" x14ac:dyDescent="0.25">
      <c r="I323">
        <v>355.43363759802537</v>
      </c>
      <c r="L323">
        <v>133.47570249709145</v>
      </c>
    </row>
    <row r="324" spans="9:12" x14ac:dyDescent="0.25">
      <c r="I324">
        <v>195.09977430315303</v>
      </c>
      <c r="L324">
        <v>50.32856366722126</v>
      </c>
    </row>
    <row r="325" spans="9:12" x14ac:dyDescent="0.25">
      <c r="I325">
        <v>292.45157965856379</v>
      </c>
      <c r="L325">
        <v>64.760647224977333</v>
      </c>
    </row>
    <row r="326" spans="9:12" x14ac:dyDescent="0.25">
      <c r="I326">
        <v>417.80629331449927</v>
      </c>
      <c r="L326">
        <v>232.27973985633662</v>
      </c>
    </row>
    <row r="327" spans="9:12" x14ac:dyDescent="0.25">
      <c r="I327">
        <v>234.09266766526343</v>
      </c>
      <c r="L327">
        <v>14.548510957016219</v>
      </c>
    </row>
    <row r="328" spans="9:12" x14ac:dyDescent="0.25">
      <c r="I328">
        <v>157.73068870215548</v>
      </c>
      <c r="L328">
        <v>192.1543247161282</v>
      </c>
    </row>
    <row r="329" spans="9:12" x14ac:dyDescent="0.25">
      <c r="I329">
        <v>258.14273389952541</v>
      </c>
      <c r="L329">
        <v>259.68292738087166</v>
      </c>
    </row>
    <row r="330" spans="9:12" x14ac:dyDescent="0.25">
      <c r="I330">
        <v>209.79431036199162</v>
      </c>
      <c r="L330">
        <v>135.60989936158103</v>
      </c>
    </row>
    <row r="331" spans="9:12" x14ac:dyDescent="0.25">
      <c r="I331">
        <v>114.53827884881775</v>
      </c>
      <c r="L331">
        <v>257.64019170086635</v>
      </c>
    </row>
    <row r="332" spans="9:12" x14ac:dyDescent="0.25">
      <c r="I332">
        <v>438.69648762726547</v>
      </c>
      <c r="L332">
        <v>259.68292738087166</v>
      </c>
    </row>
    <row r="333" spans="9:12" x14ac:dyDescent="0.25">
      <c r="I333">
        <v>359.71991186327341</v>
      </c>
      <c r="L333">
        <v>-89.450140957314431</v>
      </c>
    </row>
    <row r="334" spans="9:12" x14ac:dyDescent="0.25">
      <c r="I334">
        <v>437.69992452413135</v>
      </c>
      <c r="L334">
        <v>40.22117798199946</v>
      </c>
    </row>
    <row r="335" spans="9:12" x14ac:dyDescent="0.25">
      <c r="I335">
        <v>577.1477938096582</v>
      </c>
      <c r="L335">
        <v>169.45908581247608</v>
      </c>
    </row>
    <row r="336" spans="9:12" x14ac:dyDescent="0.25">
      <c r="I336">
        <v>443.45547036420726</v>
      </c>
      <c r="L336">
        <v>109.32318664447791</v>
      </c>
    </row>
    <row r="337" spans="9:12" x14ac:dyDescent="0.25">
      <c r="I337">
        <v>223.9744203522398</v>
      </c>
      <c r="L337">
        <v>211.63452513846005</v>
      </c>
    </row>
    <row r="338" spans="9:12" x14ac:dyDescent="0.25">
      <c r="I338">
        <v>325.33364159564917</v>
      </c>
      <c r="L338">
        <v>243.04739105614601</v>
      </c>
    </row>
    <row r="339" spans="9:12" x14ac:dyDescent="0.25">
      <c r="I339">
        <v>228.17173813924319</v>
      </c>
      <c r="L339">
        <v>149.27573816286014</v>
      </c>
    </row>
    <row r="340" spans="9:12" x14ac:dyDescent="0.25">
      <c r="I340">
        <v>403.91567681932884</v>
      </c>
      <c r="L340">
        <v>259.68292738087166</v>
      </c>
    </row>
    <row r="341" spans="9:12" x14ac:dyDescent="0.25">
      <c r="I341">
        <v>435.18093561531168</v>
      </c>
      <c r="L341">
        <v>180.29544383153825</v>
      </c>
    </row>
    <row r="342" spans="9:12" x14ac:dyDescent="0.25">
      <c r="I342">
        <v>190.51621355737052</v>
      </c>
      <c r="L342">
        <v>154.95980679122465</v>
      </c>
    </row>
    <row r="343" spans="9:12" x14ac:dyDescent="0.25">
      <c r="I343">
        <v>406.29320758871108</v>
      </c>
      <c r="L343">
        <v>202.99408299476994</v>
      </c>
    </row>
    <row r="344" spans="9:12" x14ac:dyDescent="0.25">
      <c r="I344">
        <v>55.706285721494623</v>
      </c>
      <c r="L344">
        <v>12.593619179312839</v>
      </c>
    </row>
    <row r="345" spans="9:12" x14ac:dyDescent="0.25">
      <c r="I345">
        <v>190.41717848723829</v>
      </c>
      <c r="L345">
        <v>259.68292738087166</v>
      </c>
    </row>
    <row r="346" spans="9:12" x14ac:dyDescent="0.25">
      <c r="I346">
        <v>124.15114324794126</v>
      </c>
      <c r="L346">
        <v>88.056863237073799</v>
      </c>
    </row>
    <row r="347" spans="9:12" x14ac:dyDescent="0.25">
      <c r="I347">
        <v>-22.013434332811357</v>
      </c>
      <c r="L347">
        <v>192.80831644496914</v>
      </c>
    </row>
    <row r="348" spans="9:12" x14ac:dyDescent="0.25">
      <c r="I348">
        <v>394.40026341760358</v>
      </c>
      <c r="L348">
        <v>63.788506302153337</v>
      </c>
    </row>
    <row r="349" spans="9:12" x14ac:dyDescent="0.25">
      <c r="I349">
        <v>60.333556385327711</v>
      </c>
      <c r="L349">
        <v>172.74514958720897</v>
      </c>
    </row>
    <row r="350" spans="9:12" x14ac:dyDescent="0.25">
      <c r="I350">
        <v>225.86308869428012</v>
      </c>
      <c r="L350">
        <v>73.532623982597215</v>
      </c>
    </row>
    <row r="351" spans="9:12" x14ac:dyDescent="0.25">
      <c r="I351">
        <v>233.64207770769303</v>
      </c>
      <c r="L351">
        <v>21.004214988544049</v>
      </c>
    </row>
    <row r="352" spans="9:12" x14ac:dyDescent="0.25">
      <c r="I352">
        <v>222.665027265356</v>
      </c>
      <c r="L352">
        <v>134.25400484862848</v>
      </c>
    </row>
    <row r="353" spans="9:12" x14ac:dyDescent="0.25">
      <c r="I353">
        <v>182.24778906333813</v>
      </c>
      <c r="L353">
        <v>215.03494505108006</v>
      </c>
    </row>
    <row r="354" spans="9:12" x14ac:dyDescent="0.25">
      <c r="I354">
        <v>206.78682131940559</v>
      </c>
      <c r="L354">
        <v>242.15308047147096</v>
      </c>
    </row>
    <row r="355" spans="9:12" x14ac:dyDescent="0.25">
      <c r="I355">
        <v>298.09413448499504</v>
      </c>
      <c r="L355">
        <v>59.431125605469958</v>
      </c>
    </row>
    <row r="356" spans="9:12" x14ac:dyDescent="0.25">
      <c r="I356">
        <v>121.93461146074185</v>
      </c>
      <c r="L356">
        <v>-13.139068957831455</v>
      </c>
    </row>
    <row r="357" spans="9:12" x14ac:dyDescent="0.25">
      <c r="I357">
        <v>-40.147479873491875</v>
      </c>
      <c r="L357">
        <v>-93.186434349283786</v>
      </c>
    </row>
    <row r="358" spans="9:12" x14ac:dyDescent="0.25">
      <c r="I358">
        <v>288.38096738329773</v>
      </c>
      <c r="L358">
        <v>53.36369391017422</v>
      </c>
    </row>
    <row r="359" spans="9:12" x14ac:dyDescent="0.25">
      <c r="I359">
        <v>173.62127898340532</v>
      </c>
      <c r="L359">
        <v>122.57108542551111</v>
      </c>
    </row>
    <row r="360" spans="9:12" x14ac:dyDescent="0.25">
      <c r="I360">
        <v>-20.012079414606774</v>
      </c>
      <c r="L360">
        <v>206.06066859298386</v>
      </c>
    </row>
    <row r="361" spans="9:12" x14ac:dyDescent="0.25">
      <c r="I361">
        <v>151.17064603043082</v>
      </c>
      <c r="L361">
        <v>171.17914139511873</v>
      </c>
    </row>
    <row r="362" spans="9:12" x14ac:dyDescent="0.25">
      <c r="I362">
        <v>103.77965504176314</v>
      </c>
      <c r="L362">
        <v>65.988486838785491</v>
      </c>
    </row>
    <row r="363" spans="9:12" x14ac:dyDescent="0.25">
      <c r="I363">
        <v>282.24491217066816</v>
      </c>
      <c r="L363">
        <v>128.32273664319212</v>
      </c>
    </row>
    <row r="364" spans="9:12" x14ac:dyDescent="0.25">
      <c r="I364">
        <v>275.76260396299654</v>
      </c>
      <c r="L364">
        <v>234.80368949446836</v>
      </c>
    </row>
    <row r="365" spans="9:12" x14ac:dyDescent="0.25">
      <c r="I365">
        <v>505.49482415525267</v>
      </c>
      <c r="L365">
        <v>188.95978225379372</v>
      </c>
    </row>
    <row r="366" spans="9:12" x14ac:dyDescent="0.25">
      <c r="I366">
        <v>236.42326683490637</v>
      </c>
      <c r="L366">
        <v>168.95247373703609</v>
      </c>
    </row>
    <row r="367" spans="9:12" x14ac:dyDescent="0.25">
      <c r="I367">
        <v>516.09351107502744</v>
      </c>
      <c r="L367">
        <v>5.1602631810999355</v>
      </c>
    </row>
    <row r="368" spans="9:12" x14ac:dyDescent="0.25">
      <c r="I368">
        <v>106.5586068115266</v>
      </c>
      <c r="L368">
        <v>167.71338491501132</v>
      </c>
    </row>
    <row r="369" spans="9:12" x14ac:dyDescent="0.25">
      <c r="I369">
        <v>278.67688335704224</v>
      </c>
      <c r="L369">
        <v>201.53530604889454</v>
      </c>
    </row>
    <row r="370" spans="9:12" x14ac:dyDescent="0.25">
      <c r="I370">
        <v>210.20974689121067</v>
      </c>
      <c r="L370">
        <v>223.21076877683856</v>
      </c>
    </row>
    <row r="371" spans="9:12" x14ac:dyDescent="0.25">
      <c r="I371">
        <v>139.32831938351319</v>
      </c>
      <c r="L371">
        <v>84.225573365306559</v>
      </c>
    </row>
    <row r="372" spans="9:12" x14ac:dyDescent="0.25">
      <c r="I372">
        <v>199.99938896596609</v>
      </c>
      <c r="L372">
        <v>152.66894010321715</v>
      </c>
    </row>
    <row r="373" spans="9:12" x14ac:dyDescent="0.25">
      <c r="I373">
        <v>113.34380451598338</v>
      </c>
      <c r="L373">
        <v>98.86224986081703</v>
      </c>
    </row>
    <row r="374" spans="9:12" x14ac:dyDescent="0.25">
      <c r="I374">
        <v>66.948152129158871</v>
      </c>
      <c r="L374">
        <v>99.565131573639121</v>
      </c>
    </row>
    <row r="375" spans="9:12" x14ac:dyDescent="0.25">
      <c r="I375">
        <v>-103.04402902296306</v>
      </c>
      <c r="L375">
        <v>259.68292738087166</v>
      </c>
    </row>
    <row r="376" spans="9:12" x14ac:dyDescent="0.25">
      <c r="I376">
        <v>100.0476176927591</v>
      </c>
      <c r="L376">
        <v>148.72080594593342</v>
      </c>
    </row>
    <row r="377" spans="9:12" x14ac:dyDescent="0.25">
      <c r="I377">
        <v>415.42598955687163</v>
      </c>
      <c r="L377">
        <v>76.256672511481042</v>
      </c>
    </row>
    <row r="378" spans="9:12" x14ac:dyDescent="0.25">
      <c r="I378">
        <v>391.34048813662912</v>
      </c>
      <c r="L378">
        <v>234.25527842827023</v>
      </c>
    </row>
    <row r="379" spans="9:12" x14ac:dyDescent="0.25">
      <c r="I379">
        <v>520.18711480475304</v>
      </c>
      <c r="L379">
        <v>68.451843962899829</v>
      </c>
    </row>
    <row r="380" spans="9:12" x14ac:dyDescent="0.25">
      <c r="I380">
        <v>-194.28487882045738</v>
      </c>
      <c r="L380">
        <v>184.72073512609546</v>
      </c>
    </row>
    <row r="381" spans="9:12" x14ac:dyDescent="0.25">
      <c r="I381">
        <v>236.51464839569826</v>
      </c>
      <c r="L381">
        <v>259.68292738087166</v>
      </c>
    </row>
    <row r="382" spans="9:12" x14ac:dyDescent="0.25">
      <c r="I382">
        <v>153.74011719605824</v>
      </c>
      <c r="L382">
        <v>240.77858446532196</v>
      </c>
    </row>
    <row r="383" spans="9:12" x14ac:dyDescent="0.25">
      <c r="I383">
        <v>160.12636586363806</v>
      </c>
      <c r="L383">
        <v>250.85867470918231</v>
      </c>
    </row>
    <row r="384" spans="9:12" x14ac:dyDescent="0.25">
      <c r="I384">
        <v>144.98793486764225</v>
      </c>
      <c r="L384">
        <v>-6.3539469280446497</v>
      </c>
    </row>
    <row r="385" spans="9:12" x14ac:dyDescent="0.25">
      <c r="I385">
        <v>262.43203985543687</v>
      </c>
      <c r="L385">
        <v>194.21512594336536</v>
      </c>
    </row>
    <row r="386" spans="9:12" x14ac:dyDescent="0.25">
      <c r="I386">
        <v>205.16088932857065</v>
      </c>
      <c r="L386">
        <v>84.009646713128006</v>
      </c>
    </row>
    <row r="387" spans="9:12" x14ac:dyDescent="0.25">
      <c r="I387">
        <v>87.030341924397362</v>
      </c>
      <c r="L387">
        <v>190.05139721901298</v>
      </c>
    </row>
    <row r="388" spans="9:12" x14ac:dyDescent="0.25">
      <c r="I388">
        <v>410.64583124459432</v>
      </c>
      <c r="L388">
        <v>208.27310639114779</v>
      </c>
    </row>
    <row r="389" spans="9:12" x14ac:dyDescent="0.25">
      <c r="I389">
        <v>292.16094203876855</v>
      </c>
      <c r="L389">
        <v>251.09816804303682</v>
      </c>
    </row>
    <row r="390" spans="9:12" x14ac:dyDescent="0.25">
      <c r="I390">
        <v>-169.0904526267052</v>
      </c>
      <c r="L390">
        <v>31.578492790985706</v>
      </c>
    </row>
    <row r="391" spans="9:12" x14ac:dyDescent="0.25">
      <c r="I391">
        <v>502.86431127763808</v>
      </c>
      <c r="L391">
        <v>240.10578446318141</v>
      </c>
    </row>
    <row r="392" spans="9:12" x14ac:dyDescent="0.25">
      <c r="I392">
        <v>181.23558381433395</v>
      </c>
      <c r="L392">
        <v>186.02001930487984</v>
      </c>
    </row>
    <row r="393" spans="9:12" x14ac:dyDescent="0.25">
      <c r="I393">
        <v>227.16137959116486</v>
      </c>
      <c r="L393">
        <v>72.125467974872777</v>
      </c>
    </row>
    <row r="394" spans="9:12" x14ac:dyDescent="0.25">
      <c r="I394">
        <v>429.17846548153057</v>
      </c>
      <c r="L394">
        <v>186.78294250218136</v>
      </c>
    </row>
    <row r="395" spans="9:12" x14ac:dyDescent="0.25">
      <c r="I395">
        <v>155.30225559088194</v>
      </c>
      <c r="L395">
        <v>152.99402113917779</v>
      </c>
    </row>
    <row r="396" spans="9:12" x14ac:dyDescent="0.25">
      <c r="I396">
        <v>344.70448741316181</v>
      </c>
      <c r="L396">
        <v>217.96044639333911</v>
      </c>
    </row>
    <row r="397" spans="9:12" x14ac:dyDescent="0.25">
      <c r="I397">
        <v>306.30532422852821</v>
      </c>
      <c r="L397">
        <v>259.68292738087166</v>
      </c>
    </row>
    <row r="398" spans="9:12" x14ac:dyDescent="0.25">
      <c r="I398">
        <v>364.95602568346658</v>
      </c>
      <c r="L398">
        <v>54.21628728829694</v>
      </c>
    </row>
    <row r="399" spans="9:12" x14ac:dyDescent="0.25">
      <c r="I399">
        <v>237.52405026621909</v>
      </c>
      <c r="L399">
        <v>99.764613962442411</v>
      </c>
    </row>
    <row r="400" spans="9:12" x14ac:dyDescent="0.25">
      <c r="I400">
        <v>109.8198884636281</v>
      </c>
      <c r="L400">
        <v>259.68292738087166</v>
      </c>
    </row>
    <row r="401" spans="9:12" x14ac:dyDescent="0.25">
      <c r="I401">
        <v>69.615423464169453</v>
      </c>
      <c r="L401">
        <v>259.68292738087166</v>
      </c>
    </row>
    <row r="402" spans="9:12" x14ac:dyDescent="0.25">
      <c r="I402">
        <v>219.66058433439775</v>
      </c>
      <c r="L402">
        <v>67.128078033395241</v>
      </c>
    </row>
    <row r="403" spans="9:12" x14ac:dyDescent="0.25">
      <c r="I403">
        <v>150.99952221864646</v>
      </c>
      <c r="L403">
        <v>-19.51248819672162</v>
      </c>
    </row>
    <row r="404" spans="9:12" x14ac:dyDescent="0.25">
      <c r="I404">
        <v>334.74954244914716</v>
      </c>
      <c r="L404">
        <v>53.771962763788679</v>
      </c>
    </row>
    <row r="405" spans="9:12" x14ac:dyDescent="0.25">
      <c r="I405">
        <v>284.8802503801212</v>
      </c>
      <c r="L405">
        <v>92.882030641682888</v>
      </c>
    </row>
    <row r="406" spans="9:12" x14ac:dyDescent="0.25">
      <c r="I406">
        <v>495.67579900885971</v>
      </c>
      <c r="L406">
        <v>205.05390125148972</v>
      </c>
    </row>
    <row r="407" spans="9:12" x14ac:dyDescent="0.25">
      <c r="I407">
        <v>367.82152079937532</v>
      </c>
      <c r="L407">
        <v>255.52293377883007</v>
      </c>
    </row>
    <row r="408" spans="9:12" x14ac:dyDescent="0.25">
      <c r="I408">
        <v>496.61773508645638</v>
      </c>
      <c r="L408">
        <v>192.3326587798997</v>
      </c>
    </row>
    <row r="409" spans="9:12" x14ac:dyDescent="0.25">
      <c r="I409">
        <v>288.49197736960286</v>
      </c>
      <c r="L409">
        <v>201.22846097587433</v>
      </c>
    </row>
    <row r="410" spans="9:12" x14ac:dyDescent="0.25">
      <c r="I410">
        <v>553.40770800861856</v>
      </c>
      <c r="L410">
        <v>259.68292738087166</v>
      </c>
    </row>
    <row r="411" spans="9:12" x14ac:dyDescent="0.25">
      <c r="I411">
        <v>299.30789712723345</v>
      </c>
      <c r="L411">
        <v>-123.89150820982331</v>
      </c>
    </row>
    <row r="412" spans="9:12" x14ac:dyDescent="0.25">
      <c r="I412">
        <v>235.90452282335218</v>
      </c>
      <c r="L412">
        <v>162.74624669093396</v>
      </c>
    </row>
    <row r="413" spans="9:12" x14ac:dyDescent="0.25">
      <c r="I413">
        <v>250.88259322965723</v>
      </c>
      <c r="L413">
        <v>236.74813770902483</v>
      </c>
    </row>
    <row r="414" spans="9:12" x14ac:dyDescent="0.25">
      <c r="I414">
        <v>110.20566634224895</v>
      </c>
      <c r="L414">
        <v>75.216401231719829</v>
      </c>
    </row>
    <row r="415" spans="9:12" x14ac:dyDescent="0.25">
      <c r="I415">
        <v>122.23456891679007</v>
      </c>
      <c r="L415">
        <v>211.5559664031822</v>
      </c>
    </row>
    <row r="416" spans="9:12" x14ac:dyDescent="0.25">
      <c r="I416">
        <v>373.78017160745821</v>
      </c>
      <c r="L416">
        <v>118.05860180092384</v>
      </c>
    </row>
    <row r="417" spans="9:12" x14ac:dyDescent="0.25">
      <c r="I417">
        <v>375.91466078285112</v>
      </c>
      <c r="L417">
        <v>138.34638871123707</v>
      </c>
    </row>
    <row r="418" spans="9:12" x14ac:dyDescent="0.25">
      <c r="I418">
        <v>85.434647600816447</v>
      </c>
      <c r="L418">
        <v>133.62279842587759</v>
      </c>
    </row>
    <row r="419" spans="9:12" x14ac:dyDescent="0.25">
      <c r="I419">
        <v>206.37712219125569</v>
      </c>
      <c r="L419">
        <v>235.88871662666406</v>
      </c>
    </row>
    <row r="420" spans="9:12" x14ac:dyDescent="0.25">
      <c r="I420">
        <v>377.43304303089189</v>
      </c>
      <c r="L420">
        <v>259.68292738087166</v>
      </c>
    </row>
    <row r="421" spans="9:12" x14ac:dyDescent="0.25">
      <c r="I421">
        <v>487.36577540960616</v>
      </c>
      <c r="L421">
        <v>196.25191619770607</v>
      </c>
    </row>
    <row r="422" spans="9:12" x14ac:dyDescent="0.25">
      <c r="I422">
        <v>645.38899368464172</v>
      </c>
      <c r="L422">
        <v>190.14067046772686</v>
      </c>
    </row>
    <row r="423" spans="9:12" x14ac:dyDescent="0.25">
      <c r="I423">
        <v>276.50606006871567</v>
      </c>
      <c r="L423">
        <v>127.62687879349465</v>
      </c>
    </row>
    <row r="424" spans="9:12" x14ac:dyDescent="0.25">
      <c r="I424">
        <v>283.62944810454269</v>
      </c>
      <c r="L424">
        <v>128.10519234350386</v>
      </c>
    </row>
    <row r="425" spans="9:12" x14ac:dyDescent="0.25">
      <c r="I425">
        <v>340.31405584892809</v>
      </c>
      <c r="L425">
        <v>100.14349560276389</v>
      </c>
    </row>
    <row r="426" spans="9:12" x14ac:dyDescent="0.25">
      <c r="I426">
        <v>329.52288356939926</v>
      </c>
      <c r="L426">
        <v>240.12446362258606</v>
      </c>
    </row>
    <row r="427" spans="9:12" x14ac:dyDescent="0.25">
      <c r="I427">
        <v>168.16420965093607</v>
      </c>
      <c r="L427">
        <v>259.68292738087166</v>
      </c>
    </row>
    <row r="428" spans="9:12" x14ac:dyDescent="0.25">
      <c r="I428">
        <v>45.905744468770649</v>
      </c>
      <c r="L428">
        <v>145.40787030832496</v>
      </c>
    </row>
    <row r="429" spans="9:12" x14ac:dyDescent="0.25">
      <c r="I429">
        <v>379.63680149470179</v>
      </c>
      <c r="L429">
        <v>-88.092347701500216</v>
      </c>
    </row>
    <row r="430" spans="9:12" x14ac:dyDescent="0.25">
      <c r="I430">
        <v>367.89114266619072</v>
      </c>
      <c r="L430">
        <v>10.304836486030581</v>
      </c>
    </row>
    <row r="431" spans="9:12" x14ac:dyDescent="0.25">
      <c r="I431">
        <v>350.42759154763098</v>
      </c>
      <c r="L431">
        <v>70.963079006425346</v>
      </c>
    </row>
    <row r="432" spans="9:12" x14ac:dyDescent="0.25">
      <c r="I432">
        <v>132.79656761573005</v>
      </c>
      <c r="L432">
        <v>199.31084983037397</v>
      </c>
    </row>
    <row r="433" spans="9:12" x14ac:dyDescent="0.25">
      <c r="I433">
        <v>309.616701793841</v>
      </c>
      <c r="L433">
        <v>128.69097029779147</v>
      </c>
    </row>
    <row r="434" spans="9:12" x14ac:dyDescent="0.25">
      <c r="I434">
        <v>518.28369536685568</v>
      </c>
      <c r="L434">
        <v>116.68300062336493</v>
      </c>
    </row>
    <row r="435" spans="9:12" x14ac:dyDescent="0.25">
      <c r="I435">
        <v>252.06539283376901</v>
      </c>
      <c r="L435">
        <v>84.23715092496974</v>
      </c>
    </row>
    <row r="436" spans="9:12" x14ac:dyDescent="0.25">
      <c r="I436">
        <v>491.63031837636026</v>
      </c>
      <c r="L436">
        <v>57.450243805292246</v>
      </c>
    </row>
    <row r="437" spans="9:12" x14ac:dyDescent="0.25">
      <c r="I437">
        <v>442.57163712775264</v>
      </c>
      <c r="L437">
        <v>259.68292738087166</v>
      </c>
    </row>
    <row r="438" spans="9:12" x14ac:dyDescent="0.25">
      <c r="I438">
        <v>382.92709562728214</v>
      </c>
      <c r="L438">
        <v>137.89505218245984</v>
      </c>
    </row>
    <row r="439" spans="9:12" x14ac:dyDescent="0.25">
      <c r="I439">
        <v>-10.530549051985872</v>
      </c>
      <c r="L439">
        <v>218.27642189739936</v>
      </c>
    </row>
    <row r="440" spans="9:12" x14ac:dyDescent="0.25">
      <c r="I440">
        <v>264.18075608116715</v>
      </c>
      <c r="L440">
        <v>216.4279784411915</v>
      </c>
    </row>
    <row r="441" spans="9:12" x14ac:dyDescent="0.25">
      <c r="I441">
        <v>450.09103937925374</v>
      </c>
      <c r="L441">
        <v>233.39862124057368</v>
      </c>
    </row>
    <row r="442" spans="9:12" x14ac:dyDescent="0.25">
      <c r="I442">
        <v>433.41784345944711</v>
      </c>
      <c r="L442">
        <v>80.704296220710546</v>
      </c>
    </row>
    <row r="443" spans="9:12" x14ac:dyDescent="0.25">
      <c r="I443">
        <v>98.997793786434954</v>
      </c>
      <c r="L443">
        <v>220.71551671879774</v>
      </c>
    </row>
    <row r="444" spans="9:12" x14ac:dyDescent="0.25">
      <c r="I444">
        <v>361.68361073855567</v>
      </c>
      <c r="L444">
        <v>187.72687867784697</v>
      </c>
    </row>
    <row r="445" spans="9:12" x14ac:dyDescent="0.25">
      <c r="I445">
        <v>348.40516371866443</v>
      </c>
      <c r="L445">
        <v>118.82301246967552</v>
      </c>
    </row>
    <row r="446" spans="9:12" x14ac:dyDescent="0.25">
      <c r="I446">
        <v>149.3449365211859</v>
      </c>
      <c r="L446">
        <v>107.68799621855027</v>
      </c>
    </row>
    <row r="447" spans="9:12" x14ac:dyDescent="0.25">
      <c r="I447">
        <v>508.24885832458176</v>
      </c>
      <c r="L447">
        <v>161.59799747037891</v>
      </c>
    </row>
    <row r="448" spans="9:12" x14ac:dyDescent="0.25">
      <c r="I448">
        <v>305.56616794147453</v>
      </c>
      <c r="L448">
        <v>259.68292738087166</v>
      </c>
    </row>
    <row r="449" spans="9:12" x14ac:dyDescent="0.25">
      <c r="I449">
        <v>295.18135942275512</v>
      </c>
      <c r="L449">
        <v>158.94295654727534</v>
      </c>
    </row>
    <row r="450" spans="9:12" x14ac:dyDescent="0.25">
      <c r="I450">
        <v>-163.34591201765579</v>
      </c>
      <c r="L450">
        <v>139.54797728407954</v>
      </c>
    </row>
    <row r="451" spans="9:12" x14ac:dyDescent="0.25">
      <c r="I451">
        <v>331.12154220729076</v>
      </c>
      <c r="L451">
        <v>77.623775859986495</v>
      </c>
    </row>
    <row r="452" spans="9:12" x14ac:dyDescent="0.25">
      <c r="I452">
        <v>177.92014938875172</v>
      </c>
      <c r="L452">
        <v>104.53821342202195</v>
      </c>
    </row>
    <row r="453" spans="9:12" x14ac:dyDescent="0.25">
      <c r="I453">
        <v>167.08213644105717</v>
      </c>
      <c r="L453">
        <v>153.39399029740554</v>
      </c>
    </row>
    <row r="454" spans="9:12" x14ac:dyDescent="0.25">
      <c r="I454">
        <v>192.90299409492945</v>
      </c>
      <c r="L454">
        <v>251.33760069011271</v>
      </c>
    </row>
    <row r="455" spans="9:12" x14ac:dyDescent="0.25">
      <c r="I455">
        <v>426.12557795647717</v>
      </c>
      <c r="L455">
        <v>174.42861283809236</v>
      </c>
    </row>
    <row r="456" spans="9:12" x14ac:dyDescent="0.25">
      <c r="I456">
        <v>431.58486845598281</v>
      </c>
      <c r="L456">
        <v>133.44525895209313</v>
      </c>
    </row>
    <row r="457" spans="9:12" x14ac:dyDescent="0.25">
      <c r="I457">
        <v>391.85552276756266</v>
      </c>
      <c r="L457">
        <v>259.68292738087166</v>
      </c>
    </row>
    <row r="458" spans="9:12" x14ac:dyDescent="0.25">
      <c r="I458">
        <v>242.54686016692176</v>
      </c>
      <c r="L458">
        <v>115.97255930236292</v>
      </c>
    </row>
    <row r="459" spans="9:12" x14ac:dyDescent="0.25">
      <c r="I459">
        <v>253.92062956170003</v>
      </c>
      <c r="L459">
        <v>204.45370305023454</v>
      </c>
    </row>
    <row r="460" spans="9:12" x14ac:dyDescent="0.25">
      <c r="I460">
        <v>352.46395637465093</v>
      </c>
      <c r="L460">
        <v>195.89570310722615</v>
      </c>
    </row>
    <row r="461" spans="9:12" x14ac:dyDescent="0.25">
      <c r="I461">
        <v>37.806005811610248</v>
      </c>
      <c r="L461">
        <v>145.03909053044219</v>
      </c>
    </row>
    <row r="462" spans="9:12" x14ac:dyDescent="0.25">
      <c r="I462">
        <v>93.802125708612266</v>
      </c>
      <c r="L462">
        <v>223.88332341593832</v>
      </c>
    </row>
    <row r="463" spans="9:12" x14ac:dyDescent="0.25">
      <c r="I463">
        <v>16.033800580154548</v>
      </c>
      <c r="L463">
        <v>259.68292738087166</v>
      </c>
    </row>
    <row r="464" spans="9:12" x14ac:dyDescent="0.25">
      <c r="I464">
        <v>400.80627578248823</v>
      </c>
      <c r="L464">
        <v>-23.190975409777138</v>
      </c>
    </row>
    <row r="465" spans="9:12" x14ac:dyDescent="0.25">
      <c r="I465">
        <v>468.30652743791916</v>
      </c>
      <c r="L465">
        <v>139.449325922323</v>
      </c>
    </row>
    <row r="466" spans="9:12" x14ac:dyDescent="0.25">
      <c r="I466">
        <v>159.05965006424503</v>
      </c>
      <c r="L466">
        <v>193.005329228498</v>
      </c>
    </row>
    <row r="467" spans="9:12" x14ac:dyDescent="0.25">
      <c r="I467">
        <v>189.96505025226361</v>
      </c>
      <c r="L467">
        <v>118.30768414072577</v>
      </c>
    </row>
    <row r="468" spans="9:12" x14ac:dyDescent="0.25">
      <c r="I468">
        <v>9.7292123906438519</v>
      </c>
      <c r="L468">
        <v>134.31090991458063</v>
      </c>
    </row>
    <row r="469" spans="9:12" x14ac:dyDescent="0.25">
      <c r="I469">
        <v>91.585039272691347</v>
      </c>
      <c r="L469">
        <v>136.52079767339586</v>
      </c>
    </row>
    <row r="470" spans="9:12" x14ac:dyDescent="0.25">
      <c r="I470">
        <v>385.91981021726906</v>
      </c>
      <c r="L470">
        <v>185.23078995645972</v>
      </c>
    </row>
    <row r="471" spans="9:12" x14ac:dyDescent="0.25">
      <c r="I471">
        <v>186.16665590014895</v>
      </c>
      <c r="L471">
        <v>121.42858112821591</v>
      </c>
    </row>
    <row r="472" spans="9:12" x14ac:dyDescent="0.25">
      <c r="I472">
        <v>288.28002935395898</v>
      </c>
      <c r="L472">
        <v>7.4116154137797139</v>
      </c>
    </row>
    <row r="473" spans="9:12" x14ac:dyDescent="0.25">
      <c r="I473">
        <v>314.90152628123701</v>
      </c>
      <c r="L473">
        <v>259.68292738087166</v>
      </c>
    </row>
    <row r="474" spans="9:12" x14ac:dyDescent="0.25">
      <c r="I474">
        <v>570.47798882554753</v>
      </c>
      <c r="L474">
        <v>121.83267832186078</v>
      </c>
    </row>
    <row r="475" spans="9:12" x14ac:dyDescent="0.25">
      <c r="I475">
        <v>20.241322426157012</v>
      </c>
      <c r="L475">
        <v>247.49324455715794</v>
      </c>
    </row>
    <row r="476" spans="9:12" x14ac:dyDescent="0.25">
      <c r="I476">
        <v>241.66494648966818</v>
      </c>
      <c r="L476">
        <v>214.460923278721</v>
      </c>
    </row>
    <row r="477" spans="9:12" x14ac:dyDescent="0.25">
      <c r="I477">
        <v>107.58299997087579</v>
      </c>
      <c r="L477">
        <v>40.698894447339853</v>
      </c>
    </row>
    <row r="478" spans="9:12" x14ac:dyDescent="0.25">
      <c r="I478">
        <v>277.83614317159163</v>
      </c>
      <c r="L478">
        <v>106.18617249993508</v>
      </c>
    </row>
    <row r="479" spans="9:12" x14ac:dyDescent="0.25">
      <c r="I479">
        <v>149.92515664625557</v>
      </c>
      <c r="L479">
        <v>202.5926710110507</v>
      </c>
    </row>
    <row r="480" spans="9:12" x14ac:dyDescent="0.25">
      <c r="I480">
        <v>320.28454802778924</v>
      </c>
      <c r="L480">
        <v>146.96815890899597</v>
      </c>
    </row>
    <row r="481" spans="9:12" x14ac:dyDescent="0.25">
      <c r="I481">
        <v>433.32780410574264</v>
      </c>
      <c r="L481">
        <v>178.99897640468402</v>
      </c>
    </row>
    <row r="482" spans="9:12" x14ac:dyDescent="0.25">
      <c r="I482">
        <v>181.85490077652025</v>
      </c>
      <c r="L482">
        <v>241.90316086210032</v>
      </c>
    </row>
    <row r="483" spans="9:12" x14ac:dyDescent="0.25">
      <c r="I483">
        <v>65.525563690697709</v>
      </c>
      <c r="L483">
        <v>148.07051254220715</v>
      </c>
    </row>
    <row r="484" spans="9:12" x14ac:dyDescent="0.25">
      <c r="I484">
        <v>136.90589247312391</v>
      </c>
      <c r="L484">
        <v>231.8176011497776</v>
      </c>
    </row>
    <row r="485" spans="9:12" x14ac:dyDescent="0.25">
      <c r="I485">
        <v>465.1533733148276</v>
      </c>
      <c r="L485">
        <v>84.541327003451954</v>
      </c>
    </row>
    <row r="486" spans="9:12" x14ac:dyDescent="0.25">
      <c r="I486">
        <v>297.94852003924962</v>
      </c>
      <c r="L486">
        <v>54.573201379001887</v>
      </c>
    </row>
    <row r="487" spans="9:12" x14ac:dyDescent="0.25">
      <c r="I487">
        <v>551.58774565552767</v>
      </c>
      <c r="L487">
        <v>97.386191010385346</v>
      </c>
    </row>
    <row r="488" spans="9:12" x14ac:dyDescent="0.25">
      <c r="I488">
        <v>2.7148202693247185</v>
      </c>
      <c r="L488">
        <v>259.68292738087166</v>
      </c>
    </row>
    <row r="489" spans="9:12" x14ac:dyDescent="0.25">
      <c r="I489">
        <v>401.60373647859569</v>
      </c>
      <c r="L489">
        <v>188.2389052506021</v>
      </c>
    </row>
    <row r="490" spans="9:12" x14ac:dyDescent="0.25">
      <c r="I490">
        <v>185.22278730926655</v>
      </c>
      <c r="L490">
        <v>104.69196297936833</v>
      </c>
    </row>
    <row r="491" spans="9:12" x14ac:dyDescent="0.25">
      <c r="I491">
        <v>132.47761993890708</v>
      </c>
      <c r="L491">
        <v>163.22406338235282</v>
      </c>
    </row>
    <row r="492" spans="9:12" x14ac:dyDescent="0.25">
      <c r="I492">
        <v>385.5939216812626</v>
      </c>
      <c r="L492">
        <v>225.56770177896567</v>
      </c>
    </row>
    <row r="493" spans="9:12" x14ac:dyDescent="0.25">
      <c r="I493">
        <v>45.104871394894985</v>
      </c>
      <c r="L493">
        <v>-44.652040613115275</v>
      </c>
    </row>
    <row r="494" spans="9:12" x14ac:dyDescent="0.25">
      <c r="I494">
        <v>122.99256796489544</v>
      </c>
      <c r="L494">
        <v>207.10115602213614</v>
      </c>
    </row>
    <row r="495" spans="9:12" x14ac:dyDescent="0.25">
      <c r="I495">
        <v>132.71036338533463</v>
      </c>
      <c r="L495">
        <v>198.54514860944454</v>
      </c>
    </row>
    <row r="496" spans="9:12" x14ac:dyDescent="0.25">
      <c r="I496">
        <v>192.47158546483206</v>
      </c>
      <c r="L496">
        <v>-58.343252121519924</v>
      </c>
    </row>
    <row r="497" spans="9:12" x14ac:dyDescent="0.25">
      <c r="I497">
        <v>195.09574472531267</v>
      </c>
      <c r="L497">
        <v>234.01696165818953</v>
      </c>
    </row>
    <row r="498" spans="9:12" x14ac:dyDescent="0.25">
      <c r="I498">
        <v>134.82385967970868</v>
      </c>
      <c r="L498">
        <v>114.05947590028916</v>
      </c>
    </row>
    <row r="499" spans="9:12" x14ac:dyDescent="0.25">
      <c r="I499">
        <v>279.19075489703619</v>
      </c>
      <c r="L499">
        <v>249.91738315515204</v>
      </c>
    </row>
    <row r="500" spans="9:12" x14ac:dyDescent="0.25">
      <c r="I500">
        <v>365.14975349886117</v>
      </c>
      <c r="L500">
        <v>112.52628902915887</v>
      </c>
    </row>
    <row r="501" spans="9:12" x14ac:dyDescent="0.25">
      <c r="I501">
        <v>517.11615887389689</v>
      </c>
      <c r="L501">
        <v>259.68292738087166</v>
      </c>
    </row>
    <row r="502" spans="9:12" x14ac:dyDescent="0.25">
      <c r="I502">
        <v>498.44403769455721</v>
      </c>
      <c r="L502">
        <v>144.14415942208853</v>
      </c>
    </row>
    <row r="503" spans="9:12" x14ac:dyDescent="0.25">
      <c r="I503">
        <v>163.22011416986538</v>
      </c>
      <c r="L503">
        <v>82.9303500525495</v>
      </c>
    </row>
    <row r="504" spans="9:12" x14ac:dyDescent="0.25">
      <c r="I504">
        <v>163.83085320426994</v>
      </c>
      <c r="L504">
        <v>174.64960853928932</v>
      </c>
    </row>
    <row r="505" spans="9:12" x14ac:dyDescent="0.25">
      <c r="I505">
        <v>111.97579516152518</v>
      </c>
      <c r="L505">
        <v>259.68292738087166</v>
      </c>
    </row>
    <row r="506" spans="9:12" x14ac:dyDescent="0.25">
      <c r="I506">
        <v>336.59265375944869</v>
      </c>
      <c r="L506">
        <v>259.68292738087166</v>
      </c>
    </row>
    <row r="507" spans="9:12" x14ac:dyDescent="0.25">
      <c r="I507">
        <v>296.67226312660046</v>
      </c>
      <c r="L507">
        <v>22.369423133797568</v>
      </c>
    </row>
    <row r="508" spans="9:12" x14ac:dyDescent="0.25">
      <c r="I508">
        <v>127.1264928757721</v>
      </c>
      <c r="L508">
        <v>145.50021271737739</v>
      </c>
    </row>
    <row r="509" spans="9:12" x14ac:dyDescent="0.25">
      <c r="I509">
        <v>287.86993069202322</v>
      </c>
      <c r="L509">
        <v>155.23903155877343</v>
      </c>
    </row>
    <row r="510" spans="9:12" x14ac:dyDescent="0.25">
      <c r="I510">
        <v>385.78805878556159</v>
      </c>
      <c r="L510">
        <v>253.67318643754527</v>
      </c>
    </row>
    <row r="511" spans="9:12" x14ac:dyDescent="0.25">
      <c r="I511">
        <v>215.10680881075768</v>
      </c>
      <c r="L511">
        <v>259.68292738087166</v>
      </c>
    </row>
    <row r="512" spans="9:12" x14ac:dyDescent="0.25">
      <c r="I512">
        <v>-150.67148815224198</v>
      </c>
      <c r="L512">
        <v>-16.161964730452269</v>
      </c>
    </row>
    <row r="513" spans="9:12" x14ac:dyDescent="0.25">
      <c r="I513">
        <v>-54.814441005430353</v>
      </c>
      <c r="L513">
        <v>251.59930090685577</v>
      </c>
    </row>
    <row r="514" spans="9:12" x14ac:dyDescent="0.25">
      <c r="I514">
        <v>423.03455436406875</v>
      </c>
      <c r="L514">
        <v>259.68292738087166</v>
      </c>
    </row>
    <row r="515" spans="9:12" x14ac:dyDescent="0.25">
      <c r="I515">
        <v>285.75823233334222</v>
      </c>
      <c r="L515">
        <v>214.71545612828334</v>
      </c>
    </row>
    <row r="516" spans="9:12" x14ac:dyDescent="0.25">
      <c r="I516">
        <v>502.83019533174684</v>
      </c>
      <c r="L516">
        <v>112.83490984885253</v>
      </c>
    </row>
    <row r="517" spans="9:12" x14ac:dyDescent="0.25">
      <c r="I517">
        <v>281.82993485105067</v>
      </c>
      <c r="L517">
        <v>241.97063110251543</v>
      </c>
    </row>
    <row r="518" spans="9:12" x14ac:dyDescent="0.25">
      <c r="I518">
        <v>216.88501677105751</v>
      </c>
      <c r="L518">
        <v>87.480184350760112</v>
      </c>
    </row>
    <row r="519" spans="9:12" x14ac:dyDescent="0.25">
      <c r="I519">
        <v>242.36913786394302</v>
      </c>
      <c r="L519">
        <v>81.928525450629195</v>
      </c>
    </row>
    <row r="520" spans="9:12" x14ac:dyDescent="0.25">
      <c r="I520">
        <v>202.152946422078</v>
      </c>
      <c r="L520">
        <v>186.62988319685155</v>
      </c>
    </row>
    <row r="521" spans="9:12" x14ac:dyDescent="0.25">
      <c r="I521">
        <v>146.57978497849899</v>
      </c>
      <c r="L521">
        <v>138.82841036627576</v>
      </c>
    </row>
    <row r="522" spans="9:12" x14ac:dyDescent="0.25">
      <c r="I522">
        <v>396.13747109568385</v>
      </c>
      <c r="L522">
        <v>176.00956176649271</v>
      </c>
    </row>
    <row r="523" spans="9:12" x14ac:dyDescent="0.25">
      <c r="I523">
        <v>394.62550810032621</v>
      </c>
      <c r="L523">
        <v>256.60935858967241</v>
      </c>
    </row>
    <row r="524" spans="9:12" x14ac:dyDescent="0.25">
      <c r="I524">
        <v>372.92451325925822</v>
      </c>
      <c r="L524">
        <v>259.68292738087166</v>
      </c>
    </row>
    <row r="525" spans="9:12" x14ac:dyDescent="0.25">
      <c r="I525">
        <v>472.61242789096059</v>
      </c>
      <c r="L525">
        <v>253.28195338435614</v>
      </c>
    </row>
    <row r="526" spans="9:12" x14ac:dyDescent="0.25">
      <c r="I526">
        <v>-32.149220333801168</v>
      </c>
      <c r="L526">
        <v>107.7983410422342</v>
      </c>
    </row>
    <row r="527" spans="9:12" x14ac:dyDescent="0.25">
      <c r="I527">
        <v>503.48041013106422</v>
      </c>
      <c r="L527">
        <v>-22.289877841375414</v>
      </c>
    </row>
    <row r="528" spans="9:12" x14ac:dyDescent="0.25">
      <c r="I528">
        <v>410.58068382016813</v>
      </c>
      <c r="L528">
        <v>167.09761078720709</v>
      </c>
    </row>
    <row r="529" spans="9:12" x14ac:dyDescent="0.25">
      <c r="I529">
        <v>162.43811733674625</v>
      </c>
      <c r="L529">
        <v>243.50250715590641</v>
      </c>
    </row>
    <row r="530" spans="9:12" x14ac:dyDescent="0.25">
      <c r="I530">
        <v>-48.138667724539118</v>
      </c>
      <c r="L530">
        <v>100.23822280547142</v>
      </c>
    </row>
    <row r="531" spans="9:12" x14ac:dyDescent="0.25">
      <c r="I531">
        <v>63.782728059165265</v>
      </c>
      <c r="L531">
        <v>70.017701042021145</v>
      </c>
    </row>
    <row r="532" spans="9:12" x14ac:dyDescent="0.25">
      <c r="I532">
        <v>170.39344714285494</v>
      </c>
      <c r="L532">
        <v>76.765585401343401</v>
      </c>
    </row>
    <row r="533" spans="9:12" x14ac:dyDescent="0.25">
      <c r="I533">
        <v>398.20813553670428</v>
      </c>
      <c r="L533">
        <v>109.67623325340963</v>
      </c>
    </row>
    <row r="534" spans="9:12" x14ac:dyDescent="0.25">
      <c r="I534">
        <v>203.37476498249225</v>
      </c>
      <c r="L534">
        <v>155.33469182179545</v>
      </c>
    </row>
    <row r="535" spans="9:12" x14ac:dyDescent="0.25">
      <c r="I535">
        <v>343.7452096816728</v>
      </c>
      <c r="L535">
        <v>175.42039325546114</v>
      </c>
    </row>
    <row r="536" spans="9:12" x14ac:dyDescent="0.25">
      <c r="I536">
        <v>444.82114981935547</v>
      </c>
      <c r="L536">
        <v>259.68292738087166</v>
      </c>
    </row>
    <row r="537" spans="9:12" x14ac:dyDescent="0.25">
      <c r="I537">
        <v>357.44204111608633</v>
      </c>
      <c r="L537">
        <v>219.55758422116537</v>
      </c>
    </row>
    <row r="538" spans="9:12" x14ac:dyDescent="0.25">
      <c r="I538">
        <v>268.09323744283961</v>
      </c>
      <c r="L538">
        <v>195.00347643309482</v>
      </c>
    </row>
    <row r="539" spans="9:12" x14ac:dyDescent="0.25">
      <c r="I539">
        <v>66.935886689654239</v>
      </c>
      <c r="L539">
        <v>72.067489857822352</v>
      </c>
    </row>
    <row r="540" spans="9:12" x14ac:dyDescent="0.25">
      <c r="I540">
        <v>-49.121134316246525</v>
      </c>
      <c r="L540">
        <v>259.68292738087166</v>
      </c>
    </row>
    <row r="541" spans="9:12" x14ac:dyDescent="0.25">
      <c r="I541">
        <v>80.418581926322304</v>
      </c>
      <c r="L541">
        <v>132.79771216543429</v>
      </c>
    </row>
    <row r="542" spans="9:12" x14ac:dyDescent="0.25">
      <c r="I542">
        <v>517.51010612848631</v>
      </c>
      <c r="L542">
        <v>211.74490253299081</v>
      </c>
    </row>
    <row r="543" spans="9:12" x14ac:dyDescent="0.25">
      <c r="I543">
        <v>322.41262800154618</v>
      </c>
      <c r="L543">
        <v>132.38034447009619</v>
      </c>
    </row>
    <row r="544" spans="9:12" x14ac:dyDescent="0.25">
      <c r="I544">
        <v>364.71001074809124</v>
      </c>
      <c r="L544">
        <v>183.61773301479286</v>
      </c>
    </row>
    <row r="545" spans="9:12" x14ac:dyDescent="0.25">
      <c r="I545">
        <v>-145.29833856386608</v>
      </c>
      <c r="L545">
        <v>149.32712714660806</v>
      </c>
    </row>
    <row r="546" spans="9:12" x14ac:dyDescent="0.25">
      <c r="I546">
        <v>503.17669391660047</v>
      </c>
      <c r="L546">
        <v>211.63368433355862</v>
      </c>
    </row>
    <row r="547" spans="9:12" x14ac:dyDescent="0.25">
      <c r="I547">
        <v>55.6598128471569</v>
      </c>
      <c r="L547">
        <v>232.21237552826278</v>
      </c>
    </row>
    <row r="548" spans="9:12" x14ac:dyDescent="0.25">
      <c r="I548">
        <v>369.89803224979141</v>
      </c>
      <c r="L548">
        <v>240.32151417444629</v>
      </c>
    </row>
    <row r="549" spans="9:12" x14ac:dyDescent="0.25">
      <c r="I549">
        <v>187.81422392502554</v>
      </c>
      <c r="L549">
        <v>50.029847047172495</v>
      </c>
    </row>
    <row r="550" spans="9:12" x14ac:dyDescent="0.25">
      <c r="I550">
        <v>378.31580118439297</v>
      </c>
      <c r="L550">
        <v>128.21827304242458</v>
      </c>
    </row>
    <row r="551" spans="9:12" x14ac:dyDescent="0.25">
      <c r="I551">
        <v>269.38150394600393</v>
      </c>
      <c r="L551">
        <v>1.0648416362924991</v>
      </c>
    </row>
    <row r="552" spans="9:12" x14ac:dyDescent="0.25">
      <c r="I552">
        <v>585.75171959251566</v>
      </c>
      <c r="L552">
        <v>256.70895846130577</v>
      </c>
    </row>
    <row r="553" spans="9:12" x14ac:dyDescent="0.25">
      <c r="I553">
        <v>218.21824929647937</v>
      </c>
      <c r="L553">
        <v>-16.379391531742613</v>
      </c>
    </row>
    <row r="554" spans="9:12" x14ac:dyDescent="0.25">
      <c r="I554">
        <v>133.21006035143319</v>
      </c>
      <c r="L554">
        <v>245.12634410999226</v>
      </c>
    </row>
    <row r="555" spans="9:12" x14ac:dyDescent="0.25">
      <c r="I555">
        <v>450.00376949492579</v>
      </c>
      <c r="L555">
        <v>49.520026563160059</v>
      </c>
    </row>
    <row r="556" spans="9:12" x14ac:dyDescent="0.25">
      <c r="I556">
        <v>398.28155602315928</v>
      </c>
      <c r="L556">
        <v>143.88365903808233</v>
      </c>
    </row>
    <row r="557" spans="9:12" x14ac:dyDescent="0.25">
      <c r="I557">
        <v>100.77064818584631</v>
      </c>
      <c r="L557">
        <v>259.68292738087166</v>
      </c>
    </row>
    <row r="558" spans="9:12" x14ac:dyDescent="0.25">
      <c r="I558">
        <v>134.54653879428224</v>
      </c>
      <c r="L558">
        <v>80.619136536702172</v>
      </c>
    </row>
    <row r="559" spans="9:12" x14ac:dyDescent="0.25">
      <c r="I559">
        <v>279.34293426236036</v>
      </c>
      <c r="L559">
        <v>259.68292738087166</v>
      </c>
    </row>
    <row r="560" spans="9:12" x14ac:dyDescent="0.25">
      <c r="I560">
        <v>216.43735615738183</v>
      </c>
      <c r="L560">
        <v>259.68292738087166</v>
      </c>
    </row>
    <row r="561" spans="9:12" x14ac:dyDescent="0.25">
      <c r="I561">
        <v>556.70736122697326</v>
      </c>
      <c r="L561">
        <v>232.25939587377729</v>
      </c>
    </row>
    <row r="562" spans="9:12" x14ac:dyDescent="0.25">
      <c r="I562">
        <v>624.99644573629075</v>
      </c>
      <c r="L562">
        <v>146.37948886101344</v>
      </c>
    </row>
    <row r="563" spans="9:12" x14ac:dyDescent="0.25">
      <c r="I563">
        <v>53.045854337735818</v>
      </c>
      <c r="L563">
        <v>-12.158133430212501</v>
      </c>
    </row>
    <row r="564" spans="9:12" x14ac:dyDescent="0.25">
      <c r="I564">
        <v>432.12959661627929</v>
      </c>
      <c r="L564">
        <v>44.808517428081814</v>
      </c>
    </row>
    <row r="565" spans="9:12" x14ac:dyDescent="0.25">
      <c r="I565">
        <v>322.13749543834206</v>
      </c>
      <c r="L565">
        <v>90.065639520884758</v>
      </c>
    </row>
    <row r="566" spans="9:12" x14ac:dyDescent="0.25">
      <c r="I566">
        <v>9.5835873733383323</v>
      </c>
      <c r="L566">
        <v>194.70812428514148</v>
      </c>
    </row>
    <row r="567" spans="9:12" x14ac:dyDescent="0.25">
      <c r="I567">
        <v>-132.54773351851054</v>
      </c>
      <c r="L567">
        <v>133.03983398086149</v>
      </c>
    </row>
    <row r="568" spans="9:12" x14ac:dyDescent="0.25">
      <c r="I568">
        <v>244.0734453780899</v>
      </c>
      <c r="L568">
        <v>103.71780862912345</v>
      </c>
    </row>
    <row r="569" spans="9:12" x14ac:dyDescent="0.25">
      <c r="I569">
        <v>208.31468858233234</v>
      </c>
      <c r="L569">
        <v>115.52950424942844</v>
      </c>
    </row>
    <row r="570" spans="9:12" x14ac:dyDescent="0.25">
      <c r="I570">
        <v>218.17404910463711</v>
      </c>
      <c r="L570">
        <v>255.9376608420522</v>
      </c>
    </row>
    <row r="571" spans="9:12" x14ac:dyDescent="0.25">
      <c r="I571">
        <v>317.91871336487429</v>
      </c>
      <c r="L571">
        <v>69.77965679484231</v>
      </c>
    </row>
    <row r="572" spans="9:12" x14ac:dyDescent="0.25">
      <c r="I572">
        <v>366.96608027472848</v>
      </c>
      <c r="L572">
        <v>8.8648787170640162</v>
      </c>
    </row>
    <row r="573" spans="9:12" x14ac:dyDescent="0.25">
      <c r="I573">
        <v>212.77125500013199</v>
      </c>
      <c r="L573">
        <v>203.09844737711637</v>
      </c>
    </row>
    <row r="574" spans="9:12" x14ac:dyDescent="0.25">
      <c r="I574">
        <v>150.83605506442814</v>
      </c>
      <c r="L574">
        <v>236.81035711279515</v>
      </c>
    </row>
    <row r="575" spans="9:12" x14ac:dyDescent="0.25">
      <c r="I575">
        <v>433.70252023266357</v>
      </c>
      <c r="L575">
        <v>46.505985085111661</v>
      </c>
    </row>
    <row r="576" spans="9:12" x14ac:dyDescent="0.25">
      <c r="I576">
        <v>451.85367120741421</v>
      </c>
      <c r="L576">
        <v>214.96973699212208</v>
      </c>
    </row>
    <row r="577" spans="9:12" x14ac:dyDescent="0.25">
      <c r="I577">
        <v>44.300724814636737</v>
      </c>
      <c r="L577">
        <v>-0.50325582734524232</v>
      </c>
    </row>
    <row r="578" spans="9:12" x14ac:dyDescent="0.25">
      <c r="I578">
        <v>580.86044181764873</v>
      </c>
      <c r="L578">
        <v>200.14796759999177</v>
      </c>
    </row>
    <row r="579" spans="9:12" x14ac:dyDescent="0.25">
      <c r="I579">
        <v>174.90152292971402</v>
      </c>
      <c r="L579">
        <v>188.18881524544275</v>
      </c>
    </row>
    <row r="580" spans="9:12" x14ac:dyDescent="0.25">
      <c r="I580">
        <v>348.81504360420513</v>
      </c>
      <c r="L580">
        <v>236.40823789554088</v>
      </c>
    </row>
    <row r="581" spans="9:12" x14ac:dyDescent="0.25">
      <c r="I581">
        <v>369.25907207887235</v>
      </c>
      <c r="L581">
        <v>214.63191330335508</v>
      </c>
    </row>
    <row r="582" spans="9:12" x14ac:dyDescent="0.25">
      <c r="I582">
        <v>309.57139688963116</v>
      </c>
      <c r="L582">
        <v>229.10799061125613</v>
      </c>
    </row>
    <row r="583" spans="9:12" x14ac:dyDescent="0.25">
      <c r="I583">
        <v>228.56739794195528</v>
      </c>
      <c r="L583">
        <v>176.06953355652973</v>
      </c>
    </row>
    <row r="584" spans="9:12" x14ac:dyDescent="0.25">
      <c r="I584">
        <v>325.36816125086898</v>
      </c>
      <c r="L584">
        <v>88.605028868471948</v>
      </c>
    </row>
    <row r="585" spans="9:12" x14ac:dyDescent="0.25">
      <c r="I585">
        <v>493.94019052865019</v>
      </c>
      <c r="L585">
        <v>19.100076335616052</v>
      </c>
    </row>
    <row r="586" spans="9:12" x14ac:dyDescent="0.25">
      <c r="I586">
        <v>576.12819425992029</v>
      </c>
      <c r="L586">
        <v>219.57291928729762</v>
      </c>
    </row>
    <row r="587" spans="9:12" x14ac:dyDescent="0.25">
      <c r="I587">
        <v>357.47297332951757</v>
      </c>
      <c r="L587">
        <v>187.06391763460545</v>
      </c>
    </row>
    <row r="588" spans="9:12" x14ac:dyDescent="0.25">
      <c r="I588">
        <v>413.43854996889172</v>
      </c>
      <c r="L588">
        <v>-60.521167248026188</v>
      </c>
    </row>
    <row r="589" spans="9:12" x14ac:dyDescent="0.25">
      <c r="I589">
        <v>25.450361599008147</v>
      </c>
      <c r="L589">
        <v>-2.2465790650824147</v>
      </c>
    </row>
    <row r="590" spans="9:12" x14ac:dyDescent="0.25">
      <c r="I590">
        <v>416.48631341316923</v>
      </c>
      <c r="L590">
        <v>70.942780796403383</v>
      </c>
    </row>
    <row r="591" spans="9:12" x14ac:dyDescent="0.25">
      <c r="I591">
        <v>267.83819594537999</v>
      </c>
      <c r="L591">
        <v>241.77095738321316</v>
      </c>
    </row>
    <row r="592" spans="9:12" x14ac:dyDescent="0.25">
      <c r="I592">
        <v>342.1354080582928</v>
      </c>
      <c r="L592">
        <v>237.31853686867464</v>
      </c>
    </row>
    <row r="593" spans="9:12" x14ac:dyDescent="0.25">
      <c r="I593">
        <v>423.87321904392252</v>
      </c>
      <c r="L593">
        <v>135.87349871474794</v>
      </c>
    </row>
    <row r="594" spans="9:12" x14ac:dyDescent="0.25">
      <c r="I594">
        <v>560.24981151578004</v>
      </c>
      <c r="L594">
        <v>204.27000531235825</v>
      </c>
    </row>
    <row r="595" spans="9:12" x14ac:dyDescent="0.25">
      <c r="I595">
        <v>100.43672738717862</v>
      </c>
      <c r="L595">
        <v>198.71232174077801</v>
      </c>
    </row>
    <row r="596" spans="9:12" x14ac:dyDescent="0.25">
      <c r="I596">
        <v>131.16391346755563</v>
      </c>
      <c r="L596">
        <v>129.65609482363652</v>
      </c>
    </row>
    <row r="597" spans="9:12" x14ac:dyDescent="0.25">
      <c r="I597">
        <v>269.73167288021705</v>
      </c>
      <c r="L597">
        <v>210.87343935703876</v>
      </c>
    </row>
    <row r="598" spans="9:12" x14ac:dyDescent="0.25">
      <c r="I598">
        <v>-156.85265417491973</v>
      </c>
      <c r="L598">
        <v>77.487378829547822</v>
      </c>
    </row>
    <row r="599" spans="9:12" x14ac:dyDescent="0.25">
      <c r="I599">
        <v>160.07893625079896</v>
      </c>
      <c r="L599">
        <v>11.284411824144797</v>
      </c>
    </row>
    <row r="600" spans="9:12" x14ac:dyDescent="0.25">
      <c r="I600">
        <v>130.21140213024296</v>
      </c>
      <c r="L600">
        <v>239.85843264360096</v>
      </c>
    </row>
    <row r="601" spans="9:12" x14ac:dyDescent="0.25">
      <c r="I601">
        <v>179.06143251804792</v>
      </c>
      <c r="L601">
        <v>160.58759825819732</v>
      </c>
    </row>
    <row r="602" spans="9:12" x14ac:dyDescent="0.25">
      <c r="I602">
        <v>144.82703859879075</v>
      </c>
      <c r="L602">
        <v>182.74987059734053</v>
      </c>
    </row>
    <row r="603" spans="9:12" x14ac:dyDescent="0.25">
      <c r="I603">
        <v>354.20642339534811</v>
      </c>
      <c r="L603">
        <v>84.341609048154851</v>
      </c>
    </row>
    <row r="604" spans="9:12" x14ac:dyDescent="0.25">
      <c r="I604">
        <v>145.22889159394549</v>
      </c>
      <c r="L604">
        <v>259.68292738087166</v>
      </c>
    </row>
    <row r="605" spans="9:12" x14ac:dyDescent="0.25">
      <c r="I605">
        <v>378.84802910897565</v>
      </c>
      <c r="L605">
        <v>-67.548262892191701</v>
      </c>
    </row>
    <row r="606" spans="9:12" x14ac:dyDescent="0.25">
      <c r="I606">
        <v>110.61992438946379</v>
      </c>
      <c r="L606">
        <v>243.22688690262407</v>
      </c>
    </row>
    <row r="607" spans="9:12" x14ac:dyDescent="0.25">
      <c r="I607">
        <v>165.26404181116754</v>
      </c>
      <c r="L607">
        <v>80.054211407687262</v>
      </c>
    </row>
    <row r="608" spans="9:12" x14ac:dyDescent="0.25">
      <c r="I608">
        <v>-34.024784877062075</v>
      </c>
      <c r="L608">
        <v>71.037050425678842</v>
      </c>
    </row>
    <row r="609" spans="9:12" x14ac:dyDescent="0.25">
      <c r="I609">
        <v>334.51843754389938</v>
      </c>
      <c r="L609">
        <v>213.44714510187578</v>
      </c>
    </row>
    <row r="610" spans="9:12" x14ac:dyDescent="0.25">
      <c r="I610">
        <v>365.52852241965365</v>
      </c>
      <c r="L610">
        <v>81.810118077500874</v>
      </c>
    </row>
    <row r="611" spans="9:12" x14ac:dyDescent="0.25">
      <c r="I611">
        <v>474.42037924705437</v>
      </c>
      <c r="L611">
        <v>135.4975591696483</v>
      </c>
    </row>
    <row r="612" spans="9:12" x14ac:dyDescent="0.25">
      <c r="I612">
        <v>442.61650631467978</v>
      </c>
      <c r="L612">
        <v>-65.002314696963197</v>
      </c>
    </row>
    <row r="613" spans="9:12" x14ac:dyDescent="0.25">
      <c r="I613">
        <v>162.16883843716641</v>
      </c>
      <c r="L613">
        <v>232.30052098468377</v>
      </c>
    </row>
    <row r="614" spans="9:12" x14ac:dyDescent="0.25">
      <c r="I614">
        <v>173.89128396120259</v>
      </c>
      <c r="L614">
        <v>196.87510518272097</v>
      </c>
    </row>
    <row r="615" spans="9:12" x14ac:dyDescent="0.25">
      <c r="I615">
        <v>277.77401566107642</v>
      </c>
      <c r="L615">
        <v>25.634427388611357</v>
      </c>
    </row>
    <row r="616" spans="9:12" x14ac:dyDescent="0.25">
      <c r="I616">
        <v>-16.942124943208455</v>
      </c>
      <c r="L616">
        <v>259.68292738087166</v>
      </c>
    </row>
    <row r="617" spans="9:12" x14ac:dyDescent="0.25">
      <c r="I617">
        <v>357.41220547852959</v>
      </c>
      <c r="L617">
        <v>155.0124115645832</v>
      </c>
    </row>
    <row r="618" spans="9:12" x14ac:dyDescent="0.25">
      <c r="I618">
        <v>257.09505009690656</v>
      </c>
      <c r="L618">
        <v>43.265165056401656</v>
      </c>
    </row>
    <row r="619" spans="9:12" x14ac:dyDescent="0.25">
      <c r="I619">
        <v>258.51173003985627</v>
      </c>
      <c r="L619">
        <v>136.16912391853123</v>
      </c>
    </row>
    <row r="620" spans="9:12" x14ac:dyDescent="0.25">
      <c r="I620">
        <v>480.28291345675871</v>
      </c>
      <c r="L620">
        <v>69.725280071672103</v>
      </c>
    </row>
    <row r="621" spans="9:12" x14ac:dyDescent="0.25">
      <c r="I621">
        <v>265.00678709210092</v>
      </c>
      <c r="L621">
        <v>-4.0323190302567582</v>
      </c>
    </row>
    <row r="622" spans="9:12" x14ac:dyDescent="0.25">
      <c r="I622">
        <v>204.58831759922896</v>
      </c>
      <c r="L622">
        <v>92.104152492325397</v>
      </c>
    </row>
    <row r="623" spans="9:12" x14ac:dyDescent="0.25">
      <c r="I623">
        <v>291.38998540540024</v>
      </c>
      <c r="L623">
        <v>171.91657427066525</v>
      </c>
    </row>
    <row r="624" spans="9:12" x14ac:dyDescent="0.25">
      <c r="I624">
        <v>331.92485601475232</v>
      </c>
      <c r="L624">
        <v>259.68292738087166</v>
      </c>
    </row>
    <row r="625" spans="9:12" x14ac:dyDescent="0.25">
      <c r="I625">
        <v>437.58248422374754</v>
      </c>
      <c r="L625">
        <v>97.963078460462214</v>
      </c>
    </row>
    <row r="626" spans="9:12" x14ac:dyDescent="0.25">
      <c r="I626">
        <v>233.63929797973833</v>
      </c>
      <c r="L626">
        <v>53.659989911921343</v>
      </c>
    </row>
    <row r="627" spans="9:12" x14ac:dyDescent="0.25">
      <c r="I627">
        <v>174.92829967979719</v>
      </c>
      <c r="L627">
        <v>259.68292738087166</v>
      </c>
    </row>
    <row r="628" spans="9:12" x14ac:dyDescent="0.25">
      <c r="I628">
        <v>204.76872503139657</v>
      </c>
      <c r="L628">
        <v>141.42419762958411</v>
      </c>
    </row>
    <row r="629" spans="9:12" x14ac:dyDescent="0.25">
      <c r="I629">
        <v>264.02789106476166</v>
      </c>
      <c r="L629">
        <v>175.60281210426928</v>
      </c>
    </row>
    <row r="630" spans="9:12" x14ac:dyDescent="0.25">
      <c r="I630">
        <v>496.85921482611002</v>
      </c>
      <c r="L630">
        <v>105.74917573397403</v>
      </c>
    </row>
    <row r="631" spans="9:12" x14ac:dyDescent="0.25">
      <c r="I631">
        <v>518.64866645076859</v>
      </c>
      <c r="L631">
        <v>30.867328289701959</v>
      </c>
    </row>
    <row r="632" spans="9:12" x14ac:dyDescent="0.25">
      <c r="I632">
        <v>242.6838285937506</v>
      </c>
      <c r="L632">
        <v>220.13098964001381</v>
      </c>
    </row>
    <row r="633" spans="9:12" x14ac:dyDescent="0.25">
      <c r="I633">
        <v>341.82386173834379</v>
      </c>
      <c r="L633">
        <v>-90.66686271235028</v>
      </c>
    </row>
    <row r="634" spans="9:12" x14ac:dyDescent="0.25">
      <c r="I634">
        <v>200.0514106309754</v>
      </c>
      <c r="L634">
        <v>40.893900993659202</v>
      </c>
    </row>
    <row r="635" spans="9:12" x14ac:dyDescent="0.25">
      <c r="I635">
        <v>237.00390032671635</v>
      </c>
      <c r="L635">
        <v>-9.1185114061519243</v>
      </c>
    </row>
    <row r="636" spans="9:12" x14ac:dyDescent="0.25">
      <c r="I636">
        <v>284.56558657124833</v>
      </c>
      <c r="L636">
        <v>51.694574472161719</v>
      </c>
    </row>
    <row r="637" spans="9:12" x14ac:dyDescent="0.25">
      <c r="I637">
        <v>213.21027825449437</v>
      </c>
      <c r="L637">
        <v>191.06422380321209</v>
      </c>
    </row>
    <row r="638" spans="9:12" x14ac:dyDescent="0.25">
      <c r="I638">
        <v>402.53309255377599</v>
      </c>
      <c r="L638">
        <v>195.4947387576342</v>
      </c>
    </row>
    <row r="639" spans="9:12" x14ac:dyDescent="0.25">
      <c r="I639">
        <v>74.414053856070041</v>
      </c>
      <c r="L639">
        <v>89.662259935562588</v>
      </c>
    </row>
    <row r="640" spans="9:12" x14ac:dyDescent="0.25">
      <c r="I640">
        <v>409.53828126655253</v>
      </c>
      <c r="L640">
        <v>199.85284960856046</v>
      </c>
    </row>
    <row r="641" spans="9:12" x14ac:dyDescent="0.25">
      <c r="I641">
        <v>260.43408999776875</v>
      </c>
      <c r="L641">
        <v>187.96494998020592</v>
      </c>
    </row>
    <row r="642" spans="9:12" x14ac:dyDescent="0.25">
      <c r="I642">
        <v>356.97422579518206</v>
      </c>
      <c r="L642">
        <v>151.35937578865651</v>
      </c>
    </row>
    <row r="643" spans="9:12" x14ac:dyDescent="0.25">
      <c r="I643">
        <v>262.68508143813051</v>
      </c>
      <c r="L643">
        <v>259.68292738087166</v>
      </c>
    </row>
    <row r="644" spans="9:12" x14ac:dyDescent="0.25">
      <c r="I644">
        <v>377.60145311940778</v>
      </c>
      <c r="L644">
        <v>83.567247970110031</v>
      </c>
    </row>
    <row r="645" spans="9:12" x14ac:dyDescent="0.25">
      <c r="I645">
        <v>509.67760608752633</v>
      </c>
      <c r="L645">
        <v>259.68292738087166</v>
      </c>
    </row>
    <row r="646" spans="9:12" x14ac:dyDescent="0.25">
      <c r="I646">
        <v>-101.93401643902462</v>
      </c>
      <c r="L646">
        <v>192.82249302286397</v>
      </c>
    </row>
    <row r="647" spans="9:12" x14ac:dyDescent="0.25">
      <c r="I647">
        <v>293.77715572411398</v>
      </c>
      <c r="L647">
        <v>33.592004508403988</v>
      </c>
    </row>
    <row r="648" spans="9:12" x14ac:dyDescent="0.25">
      <c r="I648">
        <v>101.01787277843061</v>
      </c>
      <c r="L648">
        <v>31.686592366618129</v>
      </c>
    </row>
    <row r="649" spans="9:12" x14ac:dyDescent="0.25">
      <c r="I649">
        <v>-156.04867886833608</v>
      </c>
      <c r="L649">
        <v>207.41097914672122</v>
      </c>
    </row>
    <row r="650" spans="9:12" x14ac:dyDescent="0.25">
      <c r="I650">
        <v>373.54759806431912</v>
      </c>
      <c r="L650">
        <v>187.66471727241395</v>
      </c>
    </row>
    <row r="651" spans="9:12" x14ac:dyDescent="0.25">
      <c r="I651">
        <v>355.35295999148093</v>
      </c>
      <c r="L651">
        <v>143.89697531335406</v>
      </c>
    </row>
    <row r="652" spans="9:12" x14ac:dyDescent="0.25">
      <c r="I652">
        <v>217.83656499610947</v>
      </c>
      <c r="L652">
        <v>86.780385828387807</v>
      </c>
    </row>
    <row r="653" spans="9:12" x14ac:dyDescent="0.25">
      <c r="I653">
        <v>205.70443055061742</v>
      </c>
      <c r="L653">
        <v>200.50531914618875</v>
      </c>
    </row>
    <row r="654" spans="9:12" x14ac:dyDescent="0.25">
      <c r="I654">
        <v>356.35639958205911</v>
      </c>
      <c r="L654">
        <v>-47.848398066626316</v>
      </c>
    </row>
    <row r="655" spans="9:12" x14ac:dyDescent="0.25">
      <c r="I655">
        <v>345.28070882648444</v>
      </c>
      <c r="L655">
        <v>244.1270333784837</v>
      </c>
    </row>
    <row r="656" spans="9:12" x14ac:dyDescent="0.25">
      <c r="I656">
        <v>310.31061660244291</v>
      </c>
      <c r="L656">
        <v>146.23552418968916</v>
      </c>
    </row>
    <row r="657" spans="9:12" x14ac:dyDescent="0.25">
      <c r="I657">
        <v>14.445989053926269</v>
      </c>
      <c r="L657">
        <v>75.595214364695835</v>
      </c>
    </row>
    <row r="658" spans="9:12" x14ac:dyDescent="0.25">
      <c r="I658">
        <v>137.34286352790969</v>
      </c>
      <c r="L658">
        <v>100.07288166225607</v>
      </c>
    </row>
    <row r="659" spans="9:12" x14ac:dyDescent="0.25">
      <c r="I659">
        <v>209.77916710943873</v>
      </c>
      <c r="L659">
        <v>246.31891368072797</v>
      </c>
    </row>
    <row r="660" spans="9:12" x14ac:dyDescent="0.25">
      <c r="I660">
        <v>1.6726732650183749</v>
      </c>
      <c r="L660">
        <v>233.87097968595435</v>
      </c>
    </row>
    <row r="661" spans="9:12" x14ac:dyDescent="0.25">
      <c r="I661">
        <v>331.57706638322315</v>
      </c>
      <c r="L661">
        <v>180.12474930599257</v>
      </c>
    </row>
    <row r="662" spans="9:12" x14ac:dyDescent="0.25">
      <c r="I662">
        <v>494.34637287238911</v>
      </c>
      <c r="L662">
        <v>155.94352939876546</v>
      </c>
    </row>
    <row r="663" spans="9:12" x14ac:dyDescent="0.25">
      <c r="I663">
        <v>266.5827004129419</v>
      </c>
      <c r="L663">
        <v>118.83697640047757</v>
      </c>
    </row>
    <row r="664" spans="9:12" x14ac:dyDescent="0.25">
      <c r="I664">
        <v>263.67088214109435</v>
      </c>
      <c r="L664">
        <v>221.42754133384994</v>
      </c>
    </row>
    <row r="665" spans="9:12" x14ac:dyDescent="0.25">
      <c r="I665">
        <v>-4.5527567798551445</v>
      </c>
      <c r="L665">
        <v>114.06020230943938</v>
      </c>
    </row>
    <row r="666" spans="9:12" x14ac:dyDescent="0.25">
      <c r="I666">
        <v>568.22960233475806</v>
      </c>
      <c r="L666">
        <v>259.68292738087166</v>
      </c>
    </row>
    <row r="667" spans="9:12" x14ac:dyDescent="0.25">
      <c r="I667">
        <v>264.52601419322787</v>
      </c>
      <c r="L667">
        <v>-11.703386815392378</v>
      </c>
    </row>
    <row r="668" spans="9:12" x14ac:dyDescent="0.25">
      <c r="I668">
        <v>299.63428671462452</v>
      </c>
      <c r="L668">
        <v>259.68292738087166</v>
      </c>
    </row>
    <row r="669" spans="9:12" x14ac:dyDescent="0.25">
      <c r="I669">
        <v>285.52311754291964</v>
      </c>
      <c r="L669">
        <v>259.68292738087166</v>
      </c>
    </row>
    <row r="670" spans="9:12" x14ac:dyDescent="0.25">
      <c r="I670">
        <v>190.2704626051941</v>
      </c>
      <c r="L670">
        <v>242.48506199823646</v>
      </c>
    </row>
    <row r="671" spans="9:12" x14ac:dyDescent="0.25">
      <c r="I671">
        <v>379.14733018719562</v>
      </c>
      <c r="L671">
        <v>194.86357442052156</v>
      </c>
    </row>
    <row r="672" spans="9:12" x14ac:dyDescent="0.25">
      <c r="I672">
        <v>440.96924490919901</v>
      </c>
      <c r="L672">
        <v>10.810567840085469</v>
      </c>
    </row>
    <row r="673" spans="9:12" x14ac:dyDescent="0.25">
      <c r="I673">
        <v>-186.66360727603251</v>
      </c>
      <c r="L673">
        <v>185.34895167196083</v>
      </c>
    </row>
    <row r="674" spans="9:12" x14ac:dyDescent="0.25">
      <c r="I674">
        <v>295.64962321353801</v>
      </c>
      <c r="L674">
        <v>259.68292738087166</v>
      </c>
    </row>
    <row r="675" spans="9:12" x14ac:dyDescent="0.25">
      <c r="I675">
        <v>138.37486275327683</v>
      </c>
      <c r="L675">
        <v>142.91557261618419</v>
      </c>
    </row>
    <row r="676" spans="9:12" x14ac:dyDescent="0.25">
      <c r="I676">
        <v>44.475041541316955</v>
      </c>
      <c r="L676">
        <v>204.23691434113721</v>
      </c>
    </row>
    <row r="677" spans="9:12" x14ac:dyDescent="0.25">
      <c r="I677">
        <v>379.99894480474813</v>
      </c>
      <c r="L677">
        <v>245.40114276536883</v>
      </c>
    </row>
    <row r="678" spans="9:12" x14ac:dyDescent="0.25">
      <c r="I678">
        <v>385.10157722123449</v>
      </c>
      <c r="L678">
        <v>209.7528382925978</v>
      </c>
    </row>
    <row r="679" spans="9:12" x14ac:dyDescent="0.25">
      <c r="I679">
        <v>132.09187731763654</v>
      </c>
      <c r="L679">
        <v>149.35416796399841</v>
      </c>
    </row>
    <row r="680" spans="9:12" x14ac:dyDescent="0.25">
      <c r="I680">
        <v>467.0871194365327</v>
      </c>
      <c r="L680">
        <v>259.68292738087166</v>
      </c>
    </row>
    <row r="681" spans="9:12" x14ac:dyDescent="0.25">
      <c r="I681">
        <v>460.15059776690759</v>
      </c>
      <c r="L681">
        <v>204.06254666759799</v>
      </c>
    </row>
    <row r="682" spans="9:12" x14ac:dyDescent="0.25">
      <c r="I682">
        <v>266.24490338435817</v>
      </c>
      <c r="L682">
        <v>239.40695217730513</v>
      </c>
    </row>
    <row r="683" spans="9:12" x14ac:dyDescent="0.25">
      <c r="I683">
        <v>286.14259548257746</v>
      </c>
      <c r="L683">
        <v>206.06253630119045</v>
      </c>
    </row>
    <row r="684" spans="9:12" x14ac:dyDescent="0.25">
      <c r="I684">
        <v>203.09922609019122</v>
      </c>
      <c r="L684">
        <v>113.97973616681594</v>
      </c>
    </row>
    <row r="685" spans="9:12" x14ac:dyDescent="0.25">
      <c r="I685">
        <v>304.79172662558267</v>
      </c>
      <c r="L685">
        <v>229.74599891636751</v>
      </c>
    </row>
    <row r="686" spans="9:12" x14ac:dyDescent="0.25">
      <c r="I686">
        <v>24.856367044536682</v>
      </c>
      <c r="L686">
        <v>47.669418533386477</v>
      </c>
    </row>
    <row r="687" spans="9:12" x14ac:dyDescent="0.25">
      <c r="I687">
        <v>421.4851651284323</v>
      </c>
      <c r="L687">
        <v>233.98243281389432</v>
      </c>
    </row>
    <row r="688" spans="9:12" x14ac:dyDescent="0.25">
      <c r="I688">
        <v>167.96522979783208</v>
      </c>
      <c r="L688">
        <v>259.68292738087166</v>
      </c>
    </row>
    <row r="689" spans="9:12" x14ac:dyDescent="0.25">
      <c r="I689">
        <v>378.03449254659927</v>
      </c>
      <c r="L689">
        <v>179.66520659658715</v>
      </c>
    </row>
    <row r="690" spans="9:12" x14ac:dyDescent="0.25">
      <c r="I690">
        <v>430.48920803063447</v>
      </c>
      <c r="L690">
        <v>259.68292738087166</v>
      </c>
    </row>
    <row r="691" spans="9:12" x14ac:dyDescent="0.25">
      <c r="I691">
        <v>124.16201804594766</v>
      </c>
      <c r="L691">
        <v>112.28071349460492</v>
      </c>
    </row>
    <row r="692" spans="9:12" x14ac:dyDescent="0.25">
      <c r="I692">
        <v>540.98448806597753</v>
      </c>
      <c r="L692">
        <v>259.68292738087166</v>
      </c>
    </row>
    <row r="693" spans="9:12" x14ac:dyDescent="0.25">
      <c r="I693">
        <v>530.28753079350327</v>
      </c>
      <c r="L693">
        <v>-8.0121514300400349</v>
      </c>
    </row>
    <row r="694" spans="9:12" x14ac:dyDescent="0.25">
      <c r="I694">
        <v>325.77843286924917</v>
      </c>
      <c r="L694">
        <v>167.72879174849214</v>
      </c>
    </row>
    <row r="695" spans="9:12" x14ac:dyDescent="0.25">
      <c r="I695">
        <v>168.11401660600836</v>
      </c>
      <c r="L695">
        <v>76.147917618689178</v>
      </c>
    </row>
    <row r="696" spans="9:12" x14ac:dyDescent="0.25">
      <c r="I696">
        <v>344.39613919399835</v>
      </c>
      <c r="L696">
        <v>259.68292738087166</v>
      </c>
    </row>
    <row r="697" spans="9:12" x14ac:dyDescent="0.25">
      <c r="I697">
        <v>244.3266452585608</v>
      </c>
      <c r="L697">
        <v>160.56377663010068</v>
      </c>
    </row>
    <row r="698" spans="9:12" x14ac:dyDescent="0.25">
      <c r="I698">
        <v>50.536642571307425</v>
      </c>
      <c r="L698">
        <v>241.05526232964246</v>
      </c>
    </row>
    <row r="699" spans="9:12" x14ac:dyDescent="0.25">
      <c r="I699">
        <v>275.55473844969902</v>
      </c>
      <c r="L699">
        <v>151.19762797360715</v>
      </c>
    </row>
    <row r="700" spans="9:12" x14ac:dyDescent="0.25">
      <c r="I700">
        <v>288.34591847051956</v>
      </c>
      <c r="L700">
        <v>83.677876600558022</v>
      </c>
    </row>
    <row r="701" spans="9:12" x14ac:dyDescent="0.25">
      <c r="I701">
        <v>527.65876464781149</v>
      </c>
      <c r="L701">
        <v>188.32726827223604</v>
      </c>
    </row>
    <row r="702" spans="9:12" x14ac:dyDescent="0.25">
      <c r="I702">
        <v>230.32093344293435</v>
      </c>
      <c r="L702">
        <v>160.58305304912744</v>
      </c>
    </row>
    <row r="703" spans="9:12" x14ac:dyDescent="0.25">
      <c r="I703">
        <v>57.121128759130897</v>
      </c>
      <c r="L703">
        <v>259.68292738087166</v>
      </c>
    </row>
    <row r="704" spans="9:12" x14ac:dyDescent="0.25">
      <c r="I704">
        <v>327.34049214393212</v>
      </c>
      <c r="L704">
        <v>202.6555898247326</v>
      </c>
    </row>
    <row r="705" spans="9:12" x14ac:dyDescent="0.25">
      <c r="I705">
        <v>117.25312500935365</v>
      </c>
      <c r="L705">
        <v>213.4670660415502</v>
      </c>
    </row>
    <row r="706" spans="9:12" x14ac:dyDescent="0.25">
      <c r="I706">
        <v>369.11628551706963</v>
      </c>
      <c r="L706">
        <v>19.617093450745074</v>
      </c>
    </row>
    <row r="707" spans="9:12" x14ac:dyDescent="0.25">
      <c r="I707">
        <v>279.05344423196357</v>
      </c>
      <c r="L707">
        <v>236.37754322986439</v>
      </c>
    </row>
    <row r="708" spans="9:12" x14ac:dyDescent="0.25">
      <c r="I708">
        <v>385.05540230015868</v>
      </c>
      <c r="L708">
        <v>228.66602211025634</v>
      </c>
    </row>
    <row r="709" spans="9:12" x14ac:dyDescent="0.25">
      <c r="I709">
        <v>39.335697283127388</v>
      </c>
      <c r="L709">
        <v>259.68292738087166</v>
      </c>
    </row>
    <row r="710" spans="9:12" x14ac:dyDescent="0.25">
      <c r="I710">
        <v>140.90215709961421</v>
      </c>
      <c r="L710">
        <v>226.91565335784151</v>
      </c>
    </row>
    <row r="711" spans="9:12" x14ac:dyDescent="0.25">
      <c r="I711">
        <v>482.38729047527386</v>
      </c>
      <c r="L711">
        <v>243.68841053005781</v>
      </c>
    </row>
    <row r="712" spans="9:12" x14ac:dyDescent="0.25">
      <c r="I712">
        <v>201.28287156172883</v>
      </c>
      <c r="L712">
        <v>88.435095415023056</v>
      </c>
    </row>
    <row r="713" spans="9:12" x14ac:dyDescent="0.25">
      <c r="I713">
        <v>7.4872640482390125</v>
      </c>
      <c r="L713">
        <v>52.990199897471541</v>
      </c>
    </row>
    <row r="714" spans="9:12" x14ac:dyDescent="0.25">
      <c r="I714">
        <v>133.35460829161343</v>
      </c>
      <c r="L714">
        <v>229.0054333689593</v>
      </c>
    </row>
    <row r="715" spans="9:12" x14ac:dyDescent="0.25">
      <c r="I715">
        <v>245.18314381772984</v>
      </c>
      <c r="L715">
        <v>233.81848508782514</v>
      </c>
    </row>
    <row r="716" spans="9:12" x14ac:dyDescent="0.25">
      <c r="I716">
        <v>248.13547657986146</v>
      </c>
      <c r="L716">
        <v>248.56681711994793</v>
      </c>
    </row>
    <row r="717" spans="9:12" x14ac:dyDescent="0.25">
      <c r="I717">
        <v>236.2549124583029</v>
      </c>
      <c r="L717">
        <v>259.68292738087166</v>
      </c>
    </row>
    <row r="718" spans="9:12" x14ac:dyDescent="0.25">
      <c r="I718">
        <v>517.64221983331345</v>
      </c>
      <c r="L718">
        <v>62.442202738301262</v>
      </c>
    </row>
    <row r="719" spans="9:12" x14ac:dyDescent="0.25">
      <c r="I719">
        <v>233.71107815133018</v>
      </c>
      <c r="L719">
        <v>172.32195042164255</v>
      </c>
    </row>
    <row r="720" spans="9:12" x14ac:dyDescent="0.25">
      <c r="I720">
        <v>304.40032111615437</v>
      </c>
      <c r="L720">
        <v>259.68292738087166</v>
      </c>
    </row>
    <row r="721" spans="9:12" x14ac:dyDescent="0.25">
      <c r="I721">
        <v>81.654311479372495</v>
      </c>
      <c r="L721">
        <v>217.12535615518539</v>
      </c>
    </row>
    <row r="722" spans="9:12" x14ac:dyDescent="0.25">
      <c r="I722">
        <v>124.08916212796339</v>
      </c>
      <c r="L722">
        <v>143.09451329802846</v>
      </c>
    </row>
    <row r="723" spans="9:12" x14ac:dyDescent="0.25">
      <c r="I723">
        <v>119.97303102790943</v>
      </c>
      <c r="L723">
        <v>62.026116648700622</v>
      </c>
    </row>
    <row r="724" spans="9:12" x14ac:dyDescent="0.25">
      <c r="I724">
        <v>384.71254597035477</v>
      </c>
      <c r="L724">
        <v>153.98733598617093</v>
      </c>
    </row>
    <row r="725" spans="9:12" x14ac:dyDescent="0.25">
      <c r="I725">
        <v>501.36107325675221</v>
      </c>
      <c r="L725">
        <v>142.30795118994644</v>
      </c>
    </row>
    <row r="726" spans="9:12" x14ac:dyDescent="0.25">
      <c r="I726">
        <v>547.93660283803183</v>
      </c>
      <c r="L726">
        <v>254.17616186982264</v>
      </c>
    </row>
    <row r="727" spans="9:12" x14ac:dyDescent="0.25">
      <c r="I727">
        <v>174.72320149574148</v>
      </c>
      <c r="L727">
        <v>29.806106448458195</v>
      </c>
    </row>
    <row r="728" spans="9:12" x14ac:dyDescent="0.25">
      <c r="I728">
        <v>411.33551866242306</v>
      </c>
      <c r="L728">
        <v>49.589157063381776</v>
      </c>
    </row>
    <row r="729" spans="9:12" x14ac:dyDescent="0.25">
      <c r="I729">
        <v>156.71126693511587</v>
      </c>
      <c r="L729">
        <v>150.21002957229007</v>
      </c>
    </row>
    <row r="730" spans="9:12" x14ac:dyDescent="0.25">
      <c r="I730">
        <v>265.90226065845445</v>
      </c>
      <c r="L730">
        <v>59.167354380232211</v>
      </c>
    </row>
    <row r="731" spans="9:12" x14ac:dyDescent="0.25">
      <c r="I731">
        <v>322.57968921808651</v>
      </c>
      <c r="L731">
        <v>188.72967991393034</v>
      </c>
    </row>
    <row r="732" spans="9:12" x14ac:dyDescent="0.25">
      <c r="I732">
        <v>241.19368846968473</v>
      </c>
      <c r="L732">
        <v>157.09283450706414</v>
      </c>
    </row>
    <row r="733" spans="9:12" x14ac:dyDescent="0.25">
      <c r="I733">
        <v>185.28499411986832</v>
      </c>
      <c r="L733">
        <v>197.91126561180437</v>
      </c>
    </row>
    <row r="734" spans="9:12" x14ac:dyDescent="0.25">
      <c r="I734">
        <v>314.75000250372159</v>
      </c>
      <c r="L734">
        <v>29.212407523644458</v>
      </c>
    </row>
    <row r="735" spans="9:12" x14ac:dyDescent="0.25">
      <c r="I735">
        <v>123.74625993218501</v>
      </c>
      <c r="L735">
        <v>175.5430190519487</v>
      </c>
    </row>
    <row r="736" spans="9:12" x14ac:dyDescent="0.25">
      <c r="I736">
        <v>139.81144159085216</v>
      </c>
      <c r="L736">
        <v>207.53084541178856</v>
      </c>
    </row>
    <row r="737" spans="9:12" x14ac:dyDescent="0.25">
      <c r="I737">
        <v>504.73854880399858</v>
      </c>
      <c r="L737">
        <v>259.68292738087166</v>
      </c>
    </row>
    <row r="738" spans="9:12" x14ac:dyDescent="0.25">
      <c r="I738">
        <v>400.10642970573213</v>
      </c>
      <c r="L738">
        <v>239.49296138340969</v>
      </c>
    </row>
    <row r="739" spans="9:12" x14ac:dyDescent="0.25">
      <c r="I739">
        <v>335.71667624144084</v>
      </c>
      <c r="L739">
        <v>69.707720485303071</v>
      </c>
    </row>
    <row r="740" spans="9:12" x14ac:dyDescent="0.25">
      <c r="I740">
        <v>102.62003633251732</v>
      </c>
      <c r="L740">
        <v>86.906321733021173</v>
      </c>
    </row>
    <row r="741" spans="9:12" x14ac:dyDescent="0.25">
      <c r="I741">
        <v>169.4998759954085</v>
      </c>
      <c r="L741">
        <v>259.68292738087166</v>
      </c>
    </row>
    <row r="742" spans="9:12" x14ac:dyDescent="0.25">
      <c r="I742">
        <v>383.03811979066722</v>
      </c>
      <c r="L742">
        <v>187.53545968090668</v>
      </c>
    </row>
    <row r="743" spans="9:12" x14ac:dyDescent="0.25">
      <c r="I743">
        <v>197.07234906912709</v>
      </c>
      <c r="L743">
        <v>187.44732117869222</v>
      </c>
    </row>
    <row r="744" spans="9:12" x14ac:dyDescent="0.25">
      <c r="I744">
        <v>439.28677520388464</v>
      </c>
      <c r="L744">
        <v>202.72967227980297</v>
      </c>
    </row>
    <row r="745" spans="9:12" x14ac:dyDescent="0.25">
      <c r="I745">
        <v>407.8632582130067</v>
      </c>
      <c r="L745">
        <v>221.75760271020772</v>
      </c>
    </row>
    <row r="746" spans="9:12" x14ac:dyDescent="0.25">
      <c r="I746">
        <v>334.35122498122109</v>
      </c>
      <c r="L746">
        <v>181.12848793316101</v>
      </c>
    </row>
    <row r="747" spans="9:12" x14ac:dyDescent="0.25">
      <c r="I747">
        <v>149.97462094057164</v>
      </c>
      <c r="L747">
        <v>120.97149581526122</v>
      </c>
    </row>
    <row r="748" spans="9:12" x14ac:dyDescent="0.25">
      <c r="I748">
        <v>-64.536587130657836</v>
      </c>
      <c r="L748">
        <v>144.44862774827612</v>
      </c>
    </row>
    <row r="749" spans="9:12" x14ac:dyDescent="0.25">
      <c r="I749">
        <v>163.28149388496627</v>
      </c>
      <c r="L749">
        <v>253.90112393097434</v>
      </c>
    </row>
    <row r="750" spans="9:12" x14ac:dyDescent="0.25">
      <c r="I750">
        <v>249.63376028183552</v>
      </c>
      <c r="L750">
        <v>-64.613131053715392</v>
      </c>
    </row>
    <row r="751" spans="9:12" x14ac:dyDescent="0.25">
      <c r="I751">
        <v>566.77234835864374</v>
      </c>
      <c r="L751">
        <v>154.25593276237197</v>
      </c>
    </row>
    <row r="752" spans="9:12" x14ac:dyDescent="0.25">
      <c r="I752">
        <v>214.75850090327731</v>
      </c>
      <c r="L752">
        <v>100.91589472718874</v>
      </c>
    </row>
    <row r="753" spans="9:12" x14ac:dyDescent="0.25">
      <c r="I753">
        <v>352.4684247231653</v>
      </c>
      <c r="L753">
        <v>203.33986800025349</v>
      </c>
    </row>
    <row r="754" spans="9:12" x14ac:dyDescent="0.25">
      <c r="I754">
        <v>317.86956569815811</v>
      </c>
      <c r="L754">
        <v>-32.953282801408591</v>
      </c>
    </row>
    <row r="755" spans="9:12" x14ac:dyDescent="0.25">
      <c r="I755">
        <v>473.89629429248816</v>
      </c>
      <c r="L755">
        <v>144.5426322471871</v>
      </c>
    </row>
    <row r="756" spans="9:12" x14ac:dyDescent="0.25">
      <c r="I756">
        <v>236.50560063397688</v>
      </c>
      <c r="L756">
        <v>174.47859386588704</v>
      </c>
    </row>
    <row r="757" spans="9:12" x14ac:dyDescent="0.25">
      <c r="I757">
        <v>175.10214724528691</v>
      </c>
      <c r="L757">
        <v>191.38243598847555</v>
      </c>
    </row>
    <row r="758" spans="9:12" x14ac:dyDescent="0.25">
      <c r="I758">
        <v>179.31133743902592</v>
      </c>
      <c r="L758">
        <v>229.63785991135956</v>
      </c>
    </row>
    <row r="759" spans="9:12" x14ac:dyDescent="0.25">
      <c r="I759">
        <v>37.953301627562269</v>
      </c>
      <c r="L759">
        <v>-60.384528310492101</v>
      </c>
    </row>
    <row r="760" spans="9:12" x14ac:dyDescent="0.25">
      <c r="I760">
        <v>411.97602504500946</v>
      </c>
      <c r="L760">
        <v>259.68292738087166</v>
      </c>
    </row>
    <row r="761" spans="9:12" x14ac:dyDescent="0.25">
      <c r="I761">
        <v>351.9569330305585</v>
      </c>
      <c r="L761">
        <v>259.68292738087166</v>
      </c>
    </row>
    <row r="762" spans="9:12" x14ac:dyDescent="0.25">
      <c r="I762">
        <v>233.49566235378234</v>
      </c>
      <c r="L762">
        <v>259.68292738087166</v>
      </c>
    </row>
    <row r="763" spans="9:12" x14ac:dyDescent="0.25">
      <c r="I763">
        <v>63.107415684823309</v>
      </c>
      <c r="L763">
        <v>233.46341307210173</v>
      </c>
    </row>
    <row r="764" spans="9:12" x14ac:dyDescent="0.25">
      <c r="I764">
        <v>333.75582797087623</v>
      </c>
      <c r="L764">
        <v>257.1109323505957</v>
      </c>
    </row>
    <row r="765" spans="9:12" x14ac:dyDescent="0.25">
      <c r="I765">
        <v>209.16823273288446</v>
      </c>
      <c r="L765">
        <v>161.62178307318254</v>
      </c>
    </row>
    <row r="766" spans="9:12" x14ac:dyDescent="0.25">
      <c r="I766">
        <v>113.56210741072641</v>
      </c>
      <c r="L766">
        <v>161.52017989747628</v>
      </c>
    </row>
    <row r="767" spans="9:12" x14ac:dyDescent="0.25">
      <c r="I767">
        <v>387.83328830218989</v>
      </c>
      <c r="L767">
        <v>259.68292738087166</v>
      </c>
    </row>
    <row r="768" spans="9:12" x14ac:dyDescent="0.25">
      <c r="I768">
        <v>519.2627904879032</v>
      </c>
      <c r="L768">
        <v>124.49526636192087</v>
      </c>
    </row>
    <row r="769" spans="9:12" x14ac:dyDescent="0.25">
      <c r="I769">
        <v>23.007711093958505</v>
      </c>
      <c r="L769">
        <v>39.382775923799159</v>
      </c>
    </row>
    <row r="770" spans="9:12" x14ac:dyDescent="0.25">
      <c r="I770">
        <v>175.06120056200734</v>
      </c>
      <c r="L770">
        <v>20.012836582413854</v>
      </c>
    </row>
    <row r="771" spans="9:12" x14ac:dyDescent="0.25">
      <c r="I771">
        <v>281.28743867362141</v>
      </c>
      <c r="L771">
        <v>259.68292738087166</v>
      </c>
    </row>
    <row r="772" spans="9:12" x14ac:dyDescent="0.25">
      <c r="I772">
        <v>130.5180506379088</v>
      </c>
      <c r="L772">
        <v>49.938905278532957</v>
      </c>
    </row>
    <row r="773" spans="9:12" x14ac:dyDescent="0.25">
      <c r="I773">
        <v>19.363211334669131</v>
      </c>
      <c r="L773">
        <v>233.13197321345353</v>
      </c>
    </row>
    <row r="774" spans="9:12" x14ac:dyDescent="0.25">
      <c r="I774">
        <v>248.38327010428247</v>
      </c>
      <c r="L774">
        <v>111.29625008875053</v>
      </c>
    </row>
    <row r="775" spans="9:12" x14ac:dyDescent="0.25">
      <c r="I775">
        <v>239.79906901074969</v>
      </c>
      <c r="L775">
        <v>259.68292738087166</v>
      </c>
    </row>
    <row r="776" spans="9:12" x14ac:dyDescent="0.25">
      <c r="I776">
        <v>-76.176917735076927</v>
      </c>
      <c r="L776">
        <v>205.50711955388505</v>
      </c>
    </row>
    <row r="777" spans="9:12" x14ac:dyDescent="0.25">
      <c r="I777">
        <v>533.71366294330528</v>
      </c>
      <c r="L777">
        <v>253.3204599215685</v>
      </c>
    </row>
    <row r="778" spans="9:12" x14ac:dyDescent="0.25">
      <c r="I778">
        <v>126.04845663747574</v>
      </c>
      <c r="L778">
        <v>227.23959073651167</v>
      </c>
    </row>
    <row r="779" spans="9:12" x14ac:dyDescent="0.25">
      <c r="I779">
        <v>286.23203718615855</v>
      </c>
      <c r="L779">
        <v>114.53799280035292</v>
      </c>
    </row>
    <row r="780" spans="9:12" x14ac:dyDescent="0.25">
      <c r="I780">
        <v>379.40904152929352</v>
      </c>
      <c r="L780">
        <v>259.68292738087166</v>
      </c>
    </row>
    <row r="781" spans="9:12" x14ac:dyDescent="0.25">
      <c r="I781">
        <v>300.39861343915481</v>
      </c>
      <c r="L781">
        <v>235.8052486002515</v>
      </c>
    </row>
    <row r="782" spans="9:12" x14ac:dyDescent="0.25">
      <c r="I782">
        <v>430.84091819323658</v>
      </c>
      <c r="L782">
        <v>134.99535041620203</v>
      </c>
    </row>
    <row r="783" spans="9:12" x14ac:dyDescent="0.25">
      <c r="I783">
        <v>409.05201828360805</v>
      </c>
      <c r="L783">
        <v>259.68292738087166</v>
      </c>
    </row>
    <row r="784" spans="9:12" x14ac:dyDescent="0.25">
      <c r="I784">
        <v>255.11028355400049</v>
      </c>
      <c r="L784">
        <v>51.00736627349977</v>
      </c>
    </row>
    <row r="785" spans="9:12" x14ac:dyDescent="0.25">
      <c r="I785">
        <v>-63.986585844050865</v>
      </c>
      <c r="L785">
        <v>52.644355703326369</v>
      </c>
    </row>
    <row r="786" spans="9:12" x14ac:dyDescent="0.25">
      <c r="I786">
        <v>402.57639567881506</v>
      </c>
      <c r="L786">
        <v>75.257327193179663</v>
      </c>
    </row>
    <row r="787" spans="9:12" x14ac:dyDescent="0.25">
      <c r="I787">
        <v>545.11862394055652</v>
      </c>
      <c r="L787">
        <v>187.6235514258446</v>
      </c>
    </row>
    <row r="788" spans="9:12" x14ac:dyDescent="0.25">
      <c r="I788">
        <v>442.77228442715955</v>
      </c>
      <c r="L788">
        <v>247.71506674221223</v>
      </c>
    </row>
    <row r="789" spans="9:12" x14ac:dyDescent="0.25">
      <c r="I789">
        <v>170.52650453257957</v>
      </c>
      <c r="L789">
        <v>252.51647586103854</v>
      </c>
    </row>
    <row r="790" spans="9:12" x14ac:dyDescent="0.25">
      <c r="I790">
        <v>397.8086339298934</v>
      </c>
      <c r="L790">
        <v>20.659893970946939</v>
      </c>
    </row>
    <row r="791" spans="9:12" x14ac:dyDescent="0.25">
      <c r="I791">
        <v>131.252918116405</v>
      </c>
      <c r="L791">
        <v>163.90369027271277</v>
      </c>
    </row>
    <row r="792" spans="9:12" x14ac:dyDescent="0.25">
      <c r="I792">
        <v>471.86958455954118</v>
      </c>
      <c r="L792">
        <v>19.941299057574952</v>
      </c>
    </row>
    <row r="793" spans="9:12" x14ac:dyDescent="0.25">
      <c r="I793">
        <v>64.44487932997481</v>
      </c>
      <c r="L793">
        <v>95.750947291017724</v>
      </c>
    </row>
    <row r="794" spans="9:12" x14ac:dyDescent="0.25">
      <c r="I794">
        <v>250.71116711111404</v>
      </c>
      <c r="L794">
        <v>153.04968313386274</v>
      </c>
    </row>
    <row r="795" spans="9:12" x14ac:dyDescent="0.25">
      <c r="I795">
        <v>460.29485083984855</v>
      </c>
      <c r="L795">
        <v>98.797212964500318</v>
      </c>
    </row>
    <row r="796" spans="9:12" x14ac:dyDescent="0.25">
      <c r="I796">
        <v>99.9385557857197</v>
      </c>
      <c r="L796">
        <v>232.84925359079466</v>
      </c>
    </row>
    <row r="797" spans="9:12" x14ac:dyDescent="0.25">
      <c r="I797">
        <v>429.0565535907549</v>
      </c>
      <c r="L797">
        <v>168.13443906572479</v>
      </c>
    </row>
    <row r="798" spans="9:12" x14ac:dyDescent="0.25">
      <c r="I798">
        <v>542.80518868261788</v>
      </c>
      <c r="L798">
        <v>188.89968904972483</v>
      </c>
    </row>
    <row r="799" spans="9:12" x14ac:dyDescent="0.25">
      <c r="I799">
        <v>305.23720969404076</v>
      </c>
      <c r="L799">
        <v>199.85030413645637</v>
      </c>
    </row>
    <row r="800" spans="9:12" x14ac:dyDescent="0.25">
      <c r="I800">
        <v>251.57234261200756</v>
      </c>
      <c r="L800">
        <v>190.90677812826681</v>
      </c>
    </row>
    <row r="801" spans="9:12" x14ac:dyDescent="0.25">
      <c r="I801">
        <v>250.82741528452289</v>
      </c>
      <c r="L801">
        <v>148.73807689680899</v>
      </c>
    </row>
    <row r="802" spans="9:12" x14ac:dyDescent="0.25">
      <c r="I802">
        <v>482.68160174202376</v>
      </c>
      <c r="L802">
        <v>252.05217832996505</v>
      </c>
    </row>
    <row r="803" spans="9:12" x14ac:dyDescent="0.25">
      <c r="I803">
        <v>188.71732466764001</v>
      </c>
      <c r="L803">
        <v>174.53963361211947</v>
      </c>
    </row>
    <row r="804" spans="9:12" x14ac:dyDescent="0.25">
      <c r="I804">
        <v>102.4233761789568</v>
      </c>
      <c r="L804">
        <v>108.77640099078394</v>
      </c>
    </row>
    <row r="805" spans="9:12" x14ac:dyDescent="0.25">
      <c r="I805">
        <v>372.90243906650448</v>
      </c>
      <c r="L805">
        <v>100.50370612932727</v>
      </c>
    </row>
    <row r="806" spans="9:12" x14ac:dyDescent="0.25">
      <c r="I806">
        <v>222.70392330009781</v>
      </c>
      <c r="L806">
        <v>252.06280967939131</v>
      </c>
    </row>
    <row r="807" spans="9:12" x14ac:dyDescent="0.25">
      <c r="I807">
        <v>157.63862388988764</v>
      </c>
      <c r="L807">
        <v>151.59583716725814</v>
      </c>
    </row>
    <row r="808" spans="9:12" x14ac:dyDescent="0.25">
      <c r="I808">
        <v>410.47783181445152</v>
      </c>
      <c r="L808">
        <v>214.8935800848094</v>
      </c>
    </row>
    <row r="809" spans="9:12" x14ac:dyDescent="0.25">
      <c r="I809">
        <v>310.40845373056391</v>
      </c>
      <c r="L809">
        <v>152.96405201462954</v>
      </c>
    </row>
    <row r="810" spans="9:12" x14ac:dyDescent="0.25">
      <c r="I810">
        <v>343.59659738299024</v>
      </c>
      <c r="L810">
        <v>117.48702982044205</v>
      </c>
    </row>
    <row r="811" spans="9:12" x14ac:dyDescent="0.25">
      <c r="I811">
        <v>484.57400084158894</v>
      </c>
      <c r="L811">
        <v>214.20260132670001</v>
      </c>
    </row>
    <row r="812" spans="9:12" x14ac:dyDescent="0.25">
      <c r="I812">
        <v>368.26265088959963</v>
      </c>
      <c r="L812">
        <v>215.53020250660597</v>
      </c>
    </row>
    <row r="813" spans="9:12" x14ac:dyDescent="0.25">
      <c r="I813">
        <v>175.01571458952867</v>
      </c>
      <c r="L813">
        <v>183.29436847684644</v>
      </c>
    </row>
    <row r="814" spans="9:12" x14ac:dyDescent="0.25">
      <c r="I814">
        <v>523.47562190880876</v>
      </c>
      <c r="L814">
        <v>104.14972381352413</v>
      </c>
    </row>
    <row r="815" spans="9:12" x14ac:dyDescent="0.25">
      <c r="I815">
        <v>524.67554236128217</v>
      </c>
      <c r="L815">
        <v>95.608429345136983</v>
      </c>
    </row>
    <row r="816" spans="9:12" x14ac:dyDescent="0.25">
      <c r="I816">
        <v>247.61471282533512</v>
      </c>
      <c r="L816">
        <v>259.68292738087166</v>
      </c>
    </row>
    <row r="817" spans="9:12" x14ac:dyDescent="0.25">
      <c r="I817">
        <v>436.37938330378392</v>
      </c>
      <c r="L817">
        <v>231.42159540256125</v>
      </c>
    </row>
    <row r="818" spans="9:12" x14ac:dyDescent="0.25">
      <c r="I818">
        <v>302.03992139592765</v>
      </c>
      <c r="L818">
        <v>79.849745534643262</v>
      </c>
    </row>
    <row r="819" spans="9:12" x14ac:dyDescent="0.25">
      <c r="I819">
        <v>400.37835633330292</v>
      </c>
      <c r="L819">
        <v>135.09987120232762</v>
      </c>
    </row>
    <row r="820" spans="9:12" x14ac:dyDescent="0.25">
      <c r="I820">
        <v>306.72733727340824</v>
      </c>
      <c r="L820">
        <v>101.41008558783619</v>
      </c>
    </row>
    <row r="821" spans="9:12" x14ac:dyDescent="0.25">
      <c r="I821">
        <v>233.2486664333685</v>
      </c>
      <c r="L821">
        <v>103.85394498276929</v>
      </c>
    </row>
    <row r="822" spans="9:12" x14ac:dyDescent="0.25">
      <c r="I822">
        <v>-114.60000145859863</v>
      </c>
      <c r="L822">
        <v>248.89244112931692</v>
      </c>
    </row>
    <row r="823" spans="9:12" x14ac:dyDescent="0.25">
      <c r="I823">
        <v>52.504953353595511</v>
      </c>
      <c r="L823">
        <v>259.68292738087166</v>
      </c>
    </row>
    <row r="824" spans="9:12" x14ac:dyDescent="0.25">
      <c r="I824">
        <v>-52.702964597609935</v>
      </c>
      <c r="L824">
        <v>178.28945141974884</v>
      </c>
    </row>
    <row r="825" spans="9:12" x14ac:dyDescent="0.25">
      <c r="I825">
        <v>214.99236831540657</v>
      </c>
      <c r="L825">
        <v>259.68292738087166</v>
      </c>
    </row>
    <row r="826" spans="9:12" x14ac:dyDescent="0.25">
      <c r="I826">
        <v>207.03337197908263</v>
      </c>
      <c r="L826">
        <v>108.46441240220025</v>
      </c>
    </row>
    <row r="827" spans="9:12" x14ac:dyDescent="0.25">
      <c r="I827">
        <v>91.1610688893104</v>
      </c>
      <c r="L827">
        <v>241.79998093591212</v>
      </c>
    </row>
    <row r="828" spans="9:12" x14ac:dyDescent="0.25">
      <c r="I828">
        <v>160.73498036522551</v>
      </c>
      <c r="L828">
        <v>147.08941016824627</v>
      </c>
    </row>
    <row r="829" spans="9:12" x14ac:dyDescent="0.25">
      <c r="I829">
        <v>193.45718511199539</v>
      </c>
      <c r="L829">
        <v>259.68292738087166</v>
      </c>
    </row>
    <row r="830" spans="9:12" x14ac:dyDescent="0.25">
      <c r="I830">
        <v>132.654960099557</v>
      </c>
      <c r="L830">
        <v>108.40242904472564</v>
      </c>
    </row>
    <row r="831" spans="9:12" x14ac:dyDescent="0.25">
      <c r="I831">
        <v>110.71301003318581</v>
      </c>
      <c r="L831">
        <v>-48.359030831694099</v>
      </c>
    </row>
    <row r="832" spans="9:12" x14ac:dyDescent="0.25">
      <c r="I832">
        <v>355.09899120937644</v>
      </c>
      <c r="L832">
        <v>259.68292738087166</v>
      </c>
    </row>
    <row r="833" spans="9:12" x14ac:dyDescent="0.25">
      <c r="I833">
        <v>151.00915861025192</v>
      </c>
      <c r="L833">
        <v>249.46720236286535</v>
      </c>
    </row>
    <row r="834" spans="9:12" x14ac:dyDescent="0.25">
      <c r="I834">
        <v>68.227427092196535</v>
      </c>
      <c r="L834">
        <v>-31.686141812734718</v>
      </c>
    </row>
    <row r="835" spans="9:12" x14ac:dyDescent="0.25">
      <c r="I835">
        <v>264.87947892110788</v>
      </c>
      <c r="L835">
        <v>240.320759015504</v>
      </c>
    </row>
    <row r="836" spans="9:12" x14ac:dyDescent="0.25">
      <c r="I836">
        <v>339.57397550533892</v>
      </c>
      <c r="L836">
        <v>139.3472281972563</v>
      </c>
    </row>
    <row r="837" spans="9:12" x14ac:dyDescent="0.25">
      <c r="I837">
        <v>217.46315366476779</v>
      </c>
      <c r="L837">
        <v>-38.501217181464881</v>
      </c>
    </row>
    <row r="838" spans="9:12" x14ac:dyDescent="0.25">
      <c r="I838">
        <v>511.91016647999686</v>
      </c>
      <c r="L838">
        <v>209.92278354051263</v>
      </c>
    </row>
    <row r="839" spans="9:12" x14ac:dyDescent="0.25">
      <c r="I839">
        <v>51.979861573274775</v>
      </c>
      <c r="L839">
        <v>224.96339088849572</v>
      </c>
    </row>
    <row r="840" spans="9:12" x14ac:dyDescent="0.25">
      <c r="I840">
        <v>425.60167142247406</v>
      </c>
      <c r="L840">
        <v>259.68292738087166</v>
      </c>
    </row>
    <row r="841" spans="9:12" x14ac:dyDescent="0.25">
      <c r="I841">
        <v>392.45238392469491</v>
      </c>
      <c r="L841">
        <v>209.85307384544376</v>
      </c>
    </row>
    <row r="842" spans="9:12" x14ac:dyDescent="0.25">
      <c r="I842">
        <v>114.55955269921674</v>
      </c>
      <c r="L842">
        <v>-76.304025008717588</v>
      </c>
    </row>
    <row r="843" spans="9:12" x14ac:dyDescent="0.25">
      <c r="I843">
        <v>-5.043424095102182</v>
      </c>
      <c r="L843">
        <v>245.00556856318849</v>
      </c>
    </row>
    <row r="844" spans="9:12" x14ac:dyDescent="0.25">
      <c r="I844">
        <v>177.64112096418239</v>
      </c>
      <c r="L844">
        <v>192.34219783522963</v>
      </c>
    </row>
    <row r="845" spans="9:12" x14ac:dyDescent="0.25">
      <c r="I845">
        <v>195.60008954714704</v>
      </c>
      <c r="L845">
        <v>180.8737981104868</v>
      </c>
    </row>
    <row r="846" spans="9:12" x14ac:dyDescent="0.25">
      <c r="I846">
        <v>180.78621202481463</v>
      </c>
      <c r="L846">
        <v>230.00252724544544</v>
      </c>
    </row>
    <row r="847" spans="9:12" x14ac:dyDescent="0.25">
      <c r="I847">
        <v>391.25767935049862</v>
      </c>
      <c r="L847">
        <v>222.40836559355387</v>
      </c>
    </row>
    <row r="848" spans="9:12" x14ac:dyDescent="0.25">
      <c r="I848">
        <v>-90.628170883062694</v>
      </c>
      <c r="L848">
        <v>250.8696612506028</v>
      </c>
    </row>
    <row r="849" spans="9:12" x14ac:dyDescent="0.25">
      <c r="I849">
        <v>289.01489397594241</v>
      </c>
      <c r="L849">
        <v>242.62123833047929</v>
      </c>
    </row>
    <row r="850" spans="9:12" x14ac:dyDescent="0.25">
      <c r="I850">
        <v>572.79097037233441</v>
      </c>
      <c r="L850">
        <v>256.322043226083</v>
      </c>
    </row>
    <row r="851" spans="9:12" x14ac:dyDescent="0.25">
      <c r="I851">
        <v>155.19362726091913</v>
      </c>
      <c r="L851">
        <v>147.596697159401</v>
      </c>
    </row>
    <row r="852" spans="9:12" x14ac:dyDescent="0.25">
      <c r="I852">
        <v>-113.9586384570506</v>
      </c>
      <c r="L852">
        <v>69.821666570686205</v>
      </c>
    </row>
    <row r="853" spans="9:12" x14ac:dyDescent="0.25">
      <c r="I853">
        <v>261.71825203392154</v>
      </c>
      <c r="L853">
        <v>219.64335898685306</v>
      </c>
    </row>
    <row r="854" spans="9:12" x14ac:dyDescent="0.25">
      <c r="I854">
        <v>335.94737150302808</v>
      </c>
      <c r="L854">
        <v>-31.210273375749921</v>
      </c>
    </row>
    <row r="855" spans="9:12" x14ac:dyDescent="0.25">
      <c r="I855">
        <v>286.04633319340019</v>
      </c>
      <c r="L855">
        <v>42.210885540655511</v>
      </c>
    </row>
    <row r="856" spans="9:12" x14ac:dyDescent="0.25">
      <c r="I856">
        <v>295.10223015705446</v>
      </c>
      <c r="L856">
        <v>259.68292738087166</v>
      </c>
    </row>
    <row r="857" spans="9:12" x14ac:dyDescent="0.25">
      <c r="I857">
        <v>70.72446474617459</v>
      </c>
      <c r="L857">
        <v>88.552530135299776</v>
      </c>
    </row>
    <row r="858" spans="9:12" x14ac:dyDescent="0.25">
      <c r="I858">
        <v>427.71052663565615</v>
      </c>
      <c r="L858">
        <v>134.54638488668229</v>
      </c>
    </row>
    <row r="859" spans="9:12" x14ac:dyDescent="0.25">
      <c r="I859">
        <v>162.0111329035708</v>
      </c>
      <c r="L859">
        <v>141.8316458055603</v>
      </c>
    </row>
    <row r="860" spans="9:12" x14ac:dyDescent="0.25">
      <c r="I860">
        <v>-1.219743100593746</v>
      </c>
      <c r="L860">
        <v>71.343898973549472</v>
      </c>
    </row>
    <row r="861" spans="9:12" x14ac:dyDescent="0.25">
      <c r="I861">
        <v>-127.36540544415118</v>
      </c>
      <c r="L861">
        <v>177.03302240961972</v>
      </c>
    </row>
    <row r="862" spans="9:12" x14ac:dyDescent="0.25">
      <c r="I862">
        <v>125.04327172041121</v>
      </c>
      <c r="L862">
        <v>233.79407567565568</v>
      </c>
    </row>
    <row r="863" spans="9:12" x14ac:dyDescent="0.25">
      <c r="I863">
        <v>202.37755850217331</v>
      </c>
      <c r="L863">
        <v>156.95506909458197</v>
      </c>
    </row>
    <row r="864" spans="9:12" x14ac:dyDescent="0.25">
      <c r="I864">
        <v>224.23445111626143</v>
      </c>
      <c r="L864">
        <v>259.68292738087166</v>
      </c>
    </row>
    <row r="865" spans="9:12" x14ac:dyDescent="0.25">
      <c r="I865">
        <v>234.84045087634104</v>
      </c>
      <c r="L865">
        <v>138.51664865043756</v>
      </c>
    </row>
    <row r="866" spans="9:12" x14ac:dyDescent="0.25">
      <c r="I866">
        <v>280.47798937124435</v>
      </c>
      <c r="L866">
        <v>225.26411768230469</v>
      </c>
    </row>
    <row r="867" spans="9:12" x14ac:dyDescent="0.25">
      <c r="I867">
        <v>412.77794514009474</v>
      </c>
      <c r="L867">
        <v>119.03670301416884</v>
      </c>
    </row>
    <row r="868" spans="9:12" x14ac:dyDescent="0.25">
      <c r="I868">
        <v>142.51121670491284</v>
      </c>
      <c r="L868">
        <v>259.68292738087166</v>
      </c>
    </row>
    <row r="869" spans="9:12" x14ac:dyDescent="0.25">
      <c r="I869">
        <v>145.07450026722017</v>
      </c>
      <c r="L869">
        <v>27.191939096597139</v>
      </c>
    </row>
    <row r="870" spans="9:12" x14ac:dyDescent="0.25">
      <c r="I870">
        <v>566.46150032695869</v>
      </c>
      <c r="L870">
        <v>110.71631872402099</v>
      </c>
    </row>
    <row r="871" spans="9:12" x14ac:dyDescent="0.25">
      <c r="I871">
        <v>84.672004896842736</v>
      </c>
      <c r="L871">
        <v>148.89239548586977</v>
      </c>
    </row>
    <row r="872" spans="9:12" x14ac:dyDescent="0.25">
      <c r="I872">
        <v>338.71014173064486</v>
      </c>
      <c r="L872">
        <v>112.14713100802612</v>
      </c>
    </row>
    <row r="873" spans="9:12" x14ac:dyDescent="0.25">
      <c r="I873">
        <v>463.65768953841052</v>
      </c>
      <c r="L873">
        <v>210.24323570075211</v>
      </c>
    </row>
    <row r="874" spans="9:12" x14ac:dyDescent="0.25">
      <c r="I874">
        <v>290.88853080330819</v>
      </c>
      <c r="L874">
        <v>184.22381112979224</v>
      </c>
    </row>
    <row r="875" spans="9:12" x14ac:dyDescent="0.25">
      <c r="I875">
        <v>418.69407006733672</v>
      </c>
      <c r="L875">
        <v>206.06519030667221</v>
      </c>
    </row>
    <row r="876" spans="9:12" x14ac:dyDescent="0.25">
      <c r="I876">
        <v>229.98665122613193</v>
      </c>
      <c r="L876">
        <v>259.68292738087166</v>
      </c>
    </row>
    <row r="877" spans="9:12" x14ac:dyDescent="0.25">
      <c r="I877">
        <v>108.52830856535684</v>
      </c>
      <c r="L877">
        <v>217.34999924015415</v>
      </c>
    </row>
    <row r="878" spans="9:12" x14ac:dyDescent="0.25">
      <c r="I878">
        <v>487.21329589889729</v>
      </c>
      <c r="L878">
        <v>113.07840000474954</v>
      </c>
    </row>
    <row r="879" spans="9:12" x14ac:dyDescent="0.25">
      <c r="I879">
        <v>236.25528182456901</v>
      </c>
      <c r="L879">
        <v>231.24465669577432</v>
      </c>
    </row>
    <row r="880" spans="9:12" x14ac:dyDescent="0.25">
      <c r="I880">
        <v>36.944553008665707</v>
      </c>
      <c r="L880">
        <v>151.97601012420921</v>
      </c>
    </row>
    <row r="881" spans="9:12" x14ac:dyDescent="0.25">
      <c r="I881">
        <v>180.00306327915769</v>
      </c>
      <c r="L881">
        <v>104.19417385060558</v>
      </c>
    </row>
    <row r="882" spans="9:12" x14ac:dyDescent="0.25">
      <c r="I882">
        <v>267.38077256194128</v>
      </c>
      <c r="L882">
        <v>220.21252138296052</v>
      </c>
    </row>
    <row r="883" spans="9:12" x14ac:dyDescent="0.25">
      <c r="I883">
        <v>210.98623528934036</v>
      </c>
      <c r="L883">
        <v>185.39627125037907</v>
      </c>
    </row>
    <row r="884" spans="9:12" x14ac:dyDescent="0.25">
      <c r="I884">
        <v>180.23918324457782</v>
      </c>
      <c r="L884">
        <v>37.502676419878583</v>
      </c>
    </row>
    <row r="885" spans="9:12" x14ac:dyDescent="0.25">
      <c r="I885">
        <v>274.08050126340549</v>
      </c>
      <c r="L885">
        <v>114.94778168729067</v>
      </c>
    </row>
    <row r="886" spans="9:12" x14ac:dyDescent="0.25">
      <c r="I886">
        <v>5.3504034280222186</v>
      </c>
      <c r="L886">
        <v>251.00307602498765</v>
      </c>
    </row>
    <row r="887" spans="9:12" x14ac:dyDescent="0.25">
      <c r="I887">
        <v>301.00331846742529</v>
      </c>
      <c r="L887">
        <v>60.961636774679675</v>
      </c>
    </row>
    <row r="888" spans="9:12" x14ac:dyDescent="0.25">
      <c r="I888">
        <v>179.9593276279561</v>
      </c>
      <c r="L888">
        <v>73.942631805390477</v>
      </c>
    </row>
    <row r="889" spans="9:12" x14ac:dyDescent="0.25">
      <c r="I889">
        <v>405.24131589927492</v>
      </c>
      <c r="L889">
        <v>112.73543755628702</v>
      </c>
    </row>
    <row r="890" spans="9:12" x14ac:dyDescent="0.25">
      <c r="I890">
        <v>254.39483828353377</v>
      </c>
      <c r="L890">
        <v>72.786082427380052</v>
      </c>
    </row>
    <row r="891" spans="9:12" x14ac:dyDescent="0.25">
      <c r="I891">
        <v>246.43107221244941</v>
      </c>
      <c r="L891">
        <v>259.68292738087166</v>
      </c>
    </row>
    <row r="892" spans="9:12" x14ac:dyDescent="0.25">
      <c r="I892">
        <v>367.71795787608357</v>
      </c>
      <c r="L892">
        <v>259.68292738087166</v>
      </c>
    </row>
    <row r="893" spans="9:12" x14ac:dyDescent="0.25">
      <c r="I893">
        <v>28.327265456737109</v>
      </c>
      <c r="L893">
        <v>111.46831246056166</v>
      </c>
    </row>
    <row r="894" spans="9:12" x14ac:dyDescent="0.25">
      <c r="I894">
        <v>324.3758217598529</v>
      </c>
      <c r="L894">
        <v>-10.471585709822079</v>
      </c>
    </row>
    <row r="895" spans="9:12" x14ac:dyDescent="0.25">
      <c r="I895">
        <v>272.36662016855689</v>
      </c>
      <c r="L895">
        <v>259.68292738087166</v>
      </c>
    </row>
    <row r="896" spans="9:12" x14ac:dyDescent="0.25">
      <c r="I896">
        <v>9.5588106871633727</v>
      </c>
      <c r="L896">
        <v>251.23870027428211</v>
      </c>
    </row>
    <row r="897" spans="9:12" x14ac:dyDescent="0.25">
      <c r="I897">
        <v>-64.311167579952098</v>
      </c>
      <c r="L897">
        <v>148.58171211739688</v>
      </c>
    </row>
    <row r="898" spans="9:12" x14ac:dyDescent="0.25">
      <c r="I898">
        <v>491.58064206354379</v>
      </c>
      <c r="L898">
        <v>14.721884208887559</v>
      </c>
    </row>
    <row r="899" spans="9:12" x14ac:dyDescent="0.25">
      <c r="I899">
        <v>316.59993829282575</v>
      </c>
      <c r="L899">
        <v>118.93004524129782</v>
      </c>
    </row>
    <row r="900" spans="9:12" x14ac:dyDescent="0.25">
      <c r="I900">
        <v>31.491043665905181</v>
      </c>
      <c r="L900">
        <v>240.5718103062793</v>
      </c>
    </row>
    <row r="901" spans="9:12" x14ac:dyDescent="0.25">
      <c r="I901">
        <v>166.35872476419308</v>
      </c>
      <c r="L901">
        <v>193.07322476972769</v>
      </c>
    </row>
    <row r="902" spans="9:12" x14ac:dyDescent="0.25">
      <c r="I902">
        <v>178.99614408446951</v>
      </c>
      <c r="L902">
        <v>167.52708326873739</v>
      </c>
    </row>
    <row r="903" spans="9:12" x14ac:dyDescent="0.25">
      <c r="I903">
        <v>226.4224184419129</v>
      </c>
      <c r="L903">
        <v>116.5645104788897</v>
      </c>
    </row>
    <row r="904" spans="9:12" x14ac:dyDescent="0.25">
      <c r="I904">
        <v>280.11745676497253</v>
      </c>
      <c r="L904">
        <v>114.49129043771165</v>
      </c>
    </row>
    <row r="905" spans="9:12" x14ac:dyDescent="0.25">
      <c r="I905">
        <v>15.202634261939352</v>
      </c>
      <c r="L905">
        <v>230.04328632088664</v>
      </c>
    </row>
    <row r="906" spans="9:12" x14ac:dyDescent="0.25">
      <c r="I906">
        <v>404.1791164737956</v>
      </c>
      <c r="L906">
        <v>213.82701452497122</v>
      </c>
    </row>
    <row r="907" spans="9:12" x14ac:dyDescent="0.25">
      <c r="I907">
        <v>63.399617538695338</v>
      </c>
      <c r="L907">
        <v>156.24382840102061</v>
      </c>
    </row>
    <row r="908" spans="9:12" x14ac:dyDescent="0.25">
      <c r="I908">
        <v>377.39276762926693</v>
      </c>
      <c r="L908">
        <v>259.68292738087166</v>
      </c>
    </row>
    <row r="909" spans="9:12" x14ac:dyDescent="0.25">
      <c r="I909">
        <v>350.18135425645505</v>
      </c>
      <c r="L909">
        <v>63.681160988836723</v>
      </c>
    </row>
    <row r="910" spans="9:12" x14ac:dyDescent="0.25">
      <c r="I910">
        <v>298.65974420351404</v>
      </c>
      <c r="L910">
        <v>250.37614599151573</v>
      </c>
    </row>
    <row r="911" spans="9:12" x14ac:dyDescent="0.25">
      <c r="I911">
        <v>237.99495243170054</v>
      </c>
      <c r="L911">
        <v>83.169120151110576</v>
      </c>
    </row>
    <row r="912" spans="9:12" x14ac:dyDescent="0.25">
      <c r="I912">
        <v>613.34295429630538</v>
      </c>
      <c r="L912">
        <v>87.266810693961077</v>
      </c>
    </row>
    <row r="913" spans="9:12" x14ac:dyDescent="0.25">
      <c r="I913">
        <v>571.52602065631777</v>
      </c>
      <c r="L913">
        <v>136.59816233700082</v>
      </c>
    </row>
    <row r="914" spans="9:12" x14ac:dyDescent="0.25">
      <c r="I914">
        <v>14.51850020701022</v>
      </c>
      <c r="L914">
        <v>160.96551678810886</v>
      </c>
    </row>
    <row r="915" spans="9:12" x14ac:dyDescent="0.25">
      <c r="I915">
        <v>388.75973673807289</v>
      </c>
      <c r="L915">
        <v>93.914969627454752</v>
      </c>
    </row>
    <row r="916" spans="9:12" x14ac:dyDescent="0.25">
      <c r="I916">
        <v>228.80329464897682</v>
      </c>
      <c r="L916">
        <v>49.489650175602264</v>
      </c>
    </row>
    <row r="917" spans="9:12" x14ac:dyDescent="0.25">
      <c r="I917">
        <v>215.3403733708692</v>
      </c>
      <c r="L917">
        <v>170.57835852321602</v>
      </c>
    </row>
    <row r="918" spans="9:12" x14ac:dyDescent="0.25">
      <c r="I918">
        <v>149.63910799928067</v>
      </c>
      <c r="L918">
        <v>259.68292738087166</v>
      </c>
    </row>
    <row r="919" spans="9:12" x14ac:dyDescent="0.25">
      <c r="I919">
        <v>141.25092011110655</v>
      </c>
      <c r="L919">
        <v>255.0357327159727</v>
      </c>
    </row>
    <row r="920" spans="9:12" x14ac:dyDescent="0.25">
      <c r="I920">
        <v>610.88414587939042</v>
      </c>
      <c r="L920">
        <v>79.223135883330542</v>
      </c>
    </row>
    <row r="921" spans="9:12" x14ac:dyDescent="0.25">
      <c r="I921">
        <v>218.67669984524446</v>
      </c>
      <c r="L921">
        <v>105.40436948527122</v>
      </c>
    </row>
    <row r="922" spans="9:12" x14ac:dyDescent="0.25">
      <c r="I922">
        <v>58.51549228779345</v>
      </c>
      <c r="L922">
        <v>110.91483353953913</v>
      </c>
    </row>
    <row r="923" spans="9:12" x14ac:dyDescent="0.25">
      <c r="I923">
        <v>291.15338270644702</v>
      </c>
      <c r="L923">
        <v>188.49865725697185</v>
      </c>
    </row>
    <row r="924" spans="9:12" x14ac:dyDescent="0.25">
      <c r="I924">
        <v>256.50032438963308</v>
      </c>
      <c r="L924">
        <v>122.16221431663769</v>
      </c>
    </row>
    <row r="925" spans="9:12" x14ac:dyDescent="0.25">
      <c r="I925">
        <v>283.62630218921549</v>
      </c>
      <c r="L925">
        <v>145.42099348409147</v>
      </c>
    </row>
    <row r="926" spans="9:12" x14ac:dyDescent="0.25">
      <c r="I926">
        <v>281.92659076172049</v>
      </c>
      <c r="L926">
        <v>163.07724213212418</v>
      </c>
    </row>
    <row r="927" spans="9:12" x14ac:dyDescent="0.25">
      <c r="I927">
        <v>-113.12569552670993</v>
      </c>
      <c r="L927">
        <v>36.220356327584739</v>
      </c>
    </row>
    <row r="928" spans="9:12" x14ac:dyDescent="0.25">
      <c r="I928">
        <v>371.68032566318516</v>
      </c>
      <c r="L928">
        <v>199.80256172486725</v>
      </c>
    </row>
    <row r="929" spans="9:12" x14ac:dyDescent="0.25">
      <c r="I929">
        <v>178.92504471417169</v>
      </c>
      <c r="L929">
        <v>44.981341266672189</v>
      </c>
    </row>
    <row r="930" spans="9:12" x14ac:dyDescent="0.25">
      <c r="I930">
        <v>188.11342266231782</v>
      </c>
      <c r="L930">
        <v>120.33107294790358</v>
      </c>
    </row>
    <row r="931" spans="9:12" x14ac:dyDescent="0.25">
      <c r="I931">
        <v>41.079064340012337</v>
      </c>
      <c r="L931">
        <v>175.48735270189889</v>
      </c>
    </row>
    <row r="932" spans="9:12" x14ac:dyDescent="0.25">
      <c r="I932">
        <v>252.32844853889264</v>
      </c>
      <c r="L932">
        <v>139.27557111689885</v>
      </c>
    </row>
    <row r="933" spans="9:12" x14ac:dyDescent="0.25">
      <c r="I933">
        <v>339.6309573913768</v>
      </c>
      <c r="L933">
        <v>112.22745694241041</v>
      </c>
    </row>
    <row r="934" spans="9:12" x14ac:dyDescent="0.25">
      <c r="I934">
        <v>598.90757858834331</v>
      </c>
      <c r="L934">
        <v>137.16099237589799</v>
      </c>
    </row>
    <row r="935" spans="9:12" x14ac:dyDescent="0.25">
      <c r="I935">
        <v>431.7893479083823</v>
      </c>
      <c r="L935">
        <v>206.96390454399182</v>
      </c>
    </row>
    <row r="936" spans="9:12" x14ac:dyDescent="0.25">
      <c r="I936">
        <v>245.41545474316126</v>
      </c>
      <c r="L936">
        <v>148.33116224015117</v>
      </c>
    </row>
    <row r="937" spans="9:12" x14ac:dyDescent="0.25">
      <c r="I937">
        <v>146.84238340690354</v>
      </c>
      <c r="L937">
        <v>-95.34901064320394</v>
      </c>
    </row>
    <row r="938" spans="9:12" x14ac:dyDescent="0.25">
      <c r="I938">
        <v>279.95434634112257</v>
      </c>
      <c r="L938">
        <v>175.15879814199963</v>
      </c>
    </row>
    <row r="939" spans="9:12" x14ac:dyDescent="0.25">
      <c r="I939">
        <v>66.932667035046734</v>
      </c>
      <c r="L939">
        <v>249.69837770113259</v>
      </c>
    </row>
    <row r="940" spans="9:12" x14ac:dyDescent="0.25">
      <c r="I940">
        <v>421.12974762805584</v>
      </c>
      <c r="L940">
        <v>161.72558050371771</v>
      </c>
    </row>
    <row r="941" spans="9:12" x14ac:dyDescent="0.25">
      <c r="I941">
        <v>159.01206180951226</v>
      </c>
      <c r="L941">
        <v>120.7053208887113</v>
      </c>
    </row>
    <row r="942" spans="9:12" x14ac:dyDescent="0.25">
      <c r="I942">
        <v>482.92836973491922</v>
      </c>
      <c r="L942">
        <v>189.60793828593796</v>
      </c>
    </row>
    <row r="943" spans="9:12" x14ac:dyDescent="0.25">
      <c r="I943">
        <v>171.89637391059046</v>
      </c>
      <c r="L943">
        <v>166.83141623856557</v>
      </c>
    </row>
    <row r="944" spans="9:12" x14ac:dyDescent="0.25">
      <c r="I944">
        <v>575.06183705880539</v>
      </c>
      <c r="L944">
        <v>259.68292738087166</v>
      </c>
    </row>
    <row r="945" spans="9:12" x14ac:dyDescent="0.25">
      <c r="I945">
        <v>597.84465122094707</v>
      </c>
      <c r="L945">
        <v>259.68292738087166</v>
      </c>
    </row>
    <row r="946" spans="9:12" x14ac:dyDescent="0.25">
      <c r="I946">
        <v>174.72474226472491</v>
      </c>
      <c r="L946">
        <v>34.883034078414425</v>
      </c>
    </row>
    <row r="947" spans="9:12" x14ac:dyDescent="0.25">
      <c r="I947">
        <v>-48.279964068308232</v>
      </c>
      <c r="L947">
        <v>250.91944537827362</v>
      </c>
    </row>
    <row r="948" spans="9:12" x14ac:dyDescent="0.25">
      <c r="I948">
        <v>123.93408748770401</v>
      </c>
      <c r="L948">
        <v>259.68292738087166</v>
      </c>
    </row>
    <row r="949" spans="9:12" x14ac:dyDescent="0.25">
      <c r="I949">
        <v>467.60986332346783</v>
      </c>
      <c r="L949">
        <v>259.68292738087166</v>
      </c>
    </row>
    <row r="950" spans="9:12" x14ac:dyDescent="0.25">
      <c r="I950">
        <v>-191.85706526564479</v>
      </c>
      <c r="L950">
        <v>104.83330123054958</v>
      </c>
    </row>
    <row r="951" spans="9:12" x14ac:dyDescent="0.25">
      <c r="I951">
        <v>90.006254956705902</v>
      </c>
      <c r="L951">
        <v>219.20655925076005</v>
      </c>
    </row>
    <row r="952" spans="9:12" x14ac:dyDescent="0.25">
      <c r="I952">
        <v>383.33330040555484</v>
      </c>
      <c r="L952">
        <v>77.951102907449638</v>
      </c>
    </row>
    <row r="953" spans="9:12" x14ac:dyDescent="0.25">
      <c r="I953">
        <v>108.56796471024882</v>
      </c>
      <c r="L953">
        <v>105.53111992519808</v>
      </c>
    </row>
    <row r="954" spans="9:12" x14ac:dyDescent="0.25">
      <c r="I954">
        <v>209.44149416454275</v>
      </c>
      <c r="L954">
        <v>196.75696127909202</v>
      </c>
    </row>
    <row r="955" spans="9:12" x14ac:dyDescent="0.25">
      <c r="I955">
        <v>171.73413157839195</v>
      </c>
      <c r="L955">
        <v>128.54953429167188</v>
      </c>
    </row>
    <row r="956" spans="9:12" x14ac:dyDescent="0.25">
      <c r="I956">
        <v>126.33028950927019</v>
      </c>
      <c r="L956">
        <v>86.754771131999291</v>
      </c>
    </row>
    <row r="957" spans="9:12" x14ac:dyDescent="0.25">
      <c r="I957">
        <v>27.803588946195532</v>
      </c>
      <c r="L957">
        <v>259.68292738087166</v>
      </c>
    </row>
    <row r="958" spans="9:12" x14ac:dyDescent="0.25">
      <c r="I958">
        <v>-125.21286836469108</v>
      </c>
      <c r="L958">
        <v>21.670577599503758</v>
      </c>
    </row>
    <row r="959" spans="9:12" x14ac:dyDescent="0.25">
      <c r="I959">
        <v>-139.07701335778938</v>
      </c>
      <c r="L959">
        <v>187.7971894201811</v>
      </c>
    </row>
    <row r="960" spans="9:12" x14ac:dyDescent="0.25">
      <c r="I960">
        <v>340.68063937481793</v>
      </c>
      <c r="L960">
        <v>254.85234026876458</v>
      </c>
    </row>
    <row r="961" spans="9:12" x14ac:dyDescent="0.25">
      <c r="I961">
        <v>258.76375834569853</v>
      </c>
      <c r="L961">
        <v>259.68292738087166</v>
      </c>
    </row>
    <row r="962" spans="9:12" x14ac:dyDescent="0.25">
      <c r="I962">
        <v>200.87518854784435</v>
      </c>
      <c r="L962">
        <v>221.13400221244467</v>
      </c>
    </row>
    <row r="963" spans="9:12" x14ac:dyDescent="0.25">
      <c r="I963">
        <v>297.17248686548373</v>
      </c>
      <c r="L963">
        <v>224.16024884455533</v>
      </c>
    </row>
    <row r="964" spans="9:12" x14ac:dyDescent="0.25">
      <c r="I964">
        <v>226.35262389612149</v>
      </c>
      <c r="L964">
        <v>172.02518653636838</v>
      </c>
    </row>
    <row r="965" spans="9:12" x14ac:dyDescent="0.25">
      <c r="I965">
        <v>38.187782092254565</v>
      </c>
      <c r="L965">
        <v>143.02961851948032</v>
      </c>
    </row>
    <row r="966" spans="9:12" x14ac:dyDescent="0.25">
      <c r="I966">
        <v>43.049304514702726</v>
      </c>
      <c r="L966">
        <v>131.98510691423201</v>
      </c>
    </row>
    <row r="967" spans="9:12" x14ac:dyDescent="0.25">
      <c r="I967">
        <v>332.04595838732803</v>
      </c>
      <c r="L967">
        <v>138.70719487269707</v>
      </c>
    </row>
    <row r="968" spans="9:12" x14ac:dyDescent="0.25">
      <c r="I968">
        <v>501.41730381193679</v>
      </c>
      <c r="L968">
        <v>172.8319104335385</v>
      </c>
    </row>
    <row r="969" spans="9:12" x14ac:dyDescent="0.25">
      <c r="I969">
        <v>411.31325938370833</v>
      </c>
      <c r="L969">
        <v>6.6583827619587623</v>
      </c>
    </row>
    <row r="970" spans="9:12" x14ac:dyDescent="0.25">
      <c r="I970">
        <v>212.22547342121652</v>
      </c>
      <c r="L970">
        <v>259.68292738087166</v>
      </c>
    </row>
    <row r="971" spans="9:12" x14ac:dyDescent="0.25">
      <c r="I971">
        <v>71.000161342714364</v>
      </c>
      <c r="L971">
        <v>169.59754641472659</v>
      </c>
    </row>
    <row r="972" spans="9:12" x14ac:dyDescent="0.25">
      <c r="I972">
        <v>477.88026850804636</v>
      </c>
      <c r="L972">
        <v>136.11306194724312</v>
      </c>
    </row>
    <row r="973" spans="9:12" x14ac:dyDescent="0.25">
      <c r="I973">
        <v>-82.702583658579556</v>
      </c>
      <c r="L973">
        <v>161.23450854017022</v>
      </c>
    </row>
    <row r="974" spans="9:12" x14ac:dyDescent="0.25">
      <c r="I974">
        <v>326.20239102202322</v>
      </c>
      <c r="L974">
        <v>-90.861200159131499</v>
      </c>
    </row>
    <row r="975" spans="9:12" x14ac:dyDescent="0.25">
      <c r="I975">
        <v>-0.12208891500006303</v>
      </c>
      <c r="L975">
        <v>155.09396056124183</v>
      </c>
    </row>
    <row r="976" spans="9:12" x14ac:dyDescent="0.25">
      <c r="I976">
        <v>-83.304850804692478</v>
      </c>
      <c r="L976">
        <v>253.65798278914201</v>
      </c>
    </row>
    <row r="977" spans="9:12" x14ac:dyDescent="0.25">
      <c r="I977">
        <v>244.84724613427716</v>
      </c>
      <c r="L977">
        <v>126.87846502242508</v>
      </c>
    </row>
    <row r="978" spans="9:12" x14ac:dyDescent="0.25">
      <c r="I978">
        <v>355.48526135986094</v>
      </c>
      <c r="L978">
        <v>62.648886194169904</v>
      </c>
    </row>
    <row r="979" spans="9:12" x14ac:dyDescent="0.25">
      <c r="I979">
        <v>85.252599246256977</v>
      </c>
      <c r="L979">
        <v>192.33786335075604</v>
      </c>
    </row>
    <row r="980" spans="9:12" x14ac:dyDescent="0.25">
      <c r="I980">
        <v>41.77823116534455</v>
      </c>
      <c r="L980">
        <v>74.633395191543286</v>
      </c>
    </row>
    <row r="981" spans="9:12" x14ac:dyDescent="0.25">
      <c r="I981">
        <v>290.7741151258424</v>
      </c>
      <c r="L981">
        <v>44.587360085143814</v>
      </c>
    </row>
    <row r="982" spans="9:12" x14ac:dyDescent="0.25">
      <c r="I982">
        <v>289.46445647488622</v>
      </c>
      <c r="L982">
        <v>259.68292738087166</v>
      </c>
    </row>
    <row r="983" spans="9:12" x14ac:dyDescent="0.25">
      <c r="I983">
        <v>349.44090697706906</v>
      </c>
      <c r="L983">
        <v>192.16501070136121</v>
      </c>
    </row>
    <row r="984" spans="9:12" x14ac:dyDescent="0.25">
      <c r="I984">
        <v>411.04602291074661</v>
      </c>
      <c r="L984">
        <v>57.02313253754221</v>
      </c>
    </row>
    <row r="985" spans="9:12" x14ac:dyDescent="0.25">
      <c r="I985">
        <v>-12.476446585120357</v>
      </c>
      <c r="L985">
        <v>120.62899542904091</v>
      </c>
    </row>
    <row r="986" spans="9:12" x14ac:dyDescent="0.25">
      <c r="I986">
        <v>116.36786496148352</v>
      </c>
      <c r="L986">
        <v>134.60070760926726</v>
      </c>
    </row>
    <row r="987" spans="9:12" x14ac:dyDescent="0.25">
      <c r="I987">
        <v>255.29100915010395</v>
      </c>
      <c r="L987">
        <v>180.67157838295469</v>
      </c>
    </row>
    <row r="988" spans="9:12" x14ac:dyDescent="0.25">
      <c r="I988">
        <v>-132.91375795158478</v>
      </c>
      <c r="L988">
        <v>259.68292738087166</v>
      </c>
    </row>
    <row r="989" spans="9:12" x14ac:dyDescent="0.25">
      <c r="I989">
        <v>-103.93726044568723</v>
      </c>
      <c r="L989">
        <v>182.73534330230916</v>
      </c>
    </row>
    <row r="990" spans="9:12" x14ac:dyDescent="0.25">
      <c r="I990">
        <v>574.529034480973</v>
      </c>
      <c r="L990">
        <v>259.68292738087166</v>
      </c>
    </row>
    <row r="991" spans="9:12" x14ac:dyDescent="0.25">
      <c r="I991">
        <v>437.51164239276363</v>
      </c>
      <c r="L991">
        <v>164.06156304250317</v>
      </c>
    </row>
    <row r="992" spans="9:12" x14ac:dyDescent="0.25">
      <c r="I992">
        <v>177.50991869221843</v>
      </c>
      <c r="L992">
        <v>197.80830130993388</v>
      </c>
    </row>
    <row r="993" spans="9:12" x14ac:dyDescent="0.25">
      <c r="I993">
        <v>433.53812410632236</v>
      </c>
      <c r="L993">
        <v>215.24371294833736</v>
      </c>
    </row>
    <row r="994" spans="9:12" x14ac:dyDescent="0.25">
      <c r="I994">
        <v>565.39834297215566</v>
      </c>
      <c r="L994">
        <v>202.04836711157031</v>
      </c>
    </row>
    <row r="995" spans="9:12" x14ac:dyDescent="0.25">
      <c r="I995">
        <v>133.69241909717766</v>
      </c>
      <c r="L995">
        <v>235.46895432798124</v>
      </c>
    </row>
    <row r="996" spans="9:12" x14ac:dyDescent="0.25">
      <c r="I996">
        <v>193.33700994644209</v>
      </c>
      <c r="L996">
        <v>122.40851882832226</v>
      </c>
    </row>
    <row r="997" spans="9:12" x14ac:dyDescent="0.25">
      <c r="I997">
        <v>533.60395410415163</v>
      </c>
      <c r="L997">
        <v>199.41388899518205</v>
      </c>
    </row>
    <row r="998" spans="9:12" x14ac:dyDescent="0.25">
      <c r="I998">
        <v>365.40405555122425</v>
      </c>
      <c r="L998">
        <v>227.17055544527921</v>
      </c>
    </row>
    <row r="999" spans="9:12" x14ac:dyDescent="0.25">
      <c r="I999">
        <v>150.86532966250047</v>
      </c>
      <c r="L999">
        <v>178.36898109668874</v>
      </c>
    </row>
    <row r="1000" spans="9:12" x14ac:dyDescent="0.25">
      <c r="I1000">
        <v>80.542686542250294</v>
      </c>
      <c r="L1000">
        <v>220.55082341453431</v>
      </c>
    </row>
    <row r="1001" spans="9:12" x14ac:dyDescent="0.25">
      <c r="I1001">
        <v>347.38789566368087</v>
      </c>
      <c r="L1001">
        <v>51.400110991655708</v>
      </c>
    </row>
    <row r="1002" spans="9:12" x14ac:dyDescent="0.25">
      <c r="I1002">
        <v>316.17933478835312</v>
      </c>
      <c r="L1002">
        <v>56.868459549592671</v>
      </c>
    </row>
    <row r="1003" spans="9:12" x14ac:dyDescent="0.25">
      <c r="I1003">
        <v>40.550778957948637</v>
      </c>
      <c r="L1003">
        <v>231.24068614795885</v>
      </c>
    </row>
  </sheetData>
  <mergeCells count="5">
    <mergeCell ref="A5:E5"/>
    <mergeCell ref="A15:E15"/>
    <mergeCell ref="H1:L1"/>
    <mergeCell ref="N1:P1"/>
    <mergeCell ref="R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003"/>
  <sheetViews>
    <sheetView topLeftCell="A20" workbookViewId="0">
      <selection activeCell="T30" sqref="T30"/>
    </sheetView>
  </sheetViews>
  <sheetFormatPr defaultColWidth="8.85546875" defaultRowHeight="15" x14ac:dyDescent="0.25"/>
  <cols>
    <col min="1" max="1" width="25" bestFit="1" customWidth="1"/>
    <col min="2" max="2" width="12" bestFit="1" customWidth="1"/>
    <col min="15" max="15" width="11.28515625" bestFit="1" customWidth="1"/>
  </cols>
  <sheetData>
    <row r="1" spans="1:20" x14ac:dyDescent="0.25">
      <c r="A1" s="1" t="s">
        <v>0</v>
      </c>
      <c r="B1" s="1">
        <v>0</v>
      </c>
      <c r="C1" s="1">
        <v>1</v>
      </c>
      <c r="D1" s="1">
        <v>2</v>
      </c>
      <c r="E1" s="1">
        <v>3</v>
      </c>
      <c r="H1" s="26" t="s">
        <v>15</v>
      </c>
      <c r="I1" s="26"/>
      <c r="J1" s="26"/>
      <c r="K1" s="26"/>
      <c r="L1" s="26"/>
      <c r="N1" s="27" t="s">
        <v>24</v>
      </c>
      <c r="O1" s="27"/>
      <c r="P1" s="27"/>
      <c r="R1" s="27" t="s">
        <v>25</v>
      </c>
      <c r="S1" s="27"/>
      <c r="T1" s="27"/>
    </row>
    <row r="2" spans="1:20" x14ac:dyDescent="0.25">
      <c r="A2" s="1" t="s">
        <v>5</v>
      </c>
      <c r="B2" s="1"/>
      <c r="C2" s="1">
        <f ca="1">0.3*((1-0.5)+2*0.5*RAND())</f>
        <v>0.163821300592602</v>
      </c>
      <c r="D2" s="1">
        <f ca="1">0.6*((1-0.5)+2*0.5*RAND())</f>
        <v>0.68398783911010852</v>
      </c>
      <c r="E2" s="1">
        <f ca="1">0.9*((1-0.5)+2*0.5*RAND())</f>
        <v>0.80191873530741797</v>
      </c>
      <c r="N2" s="13" t="s">
        <v>21</v>
      </c>
      <c r="O2" s="14" t="s">
        <v>22</v>
      </c>
      <c r="P2" s="14" t="s">
        <v>23</v>
      </c>
      <c r="R2" s="13" t="s">
        <v>21</v>
      </c>
      <c r="S2" s="14" t="s">
        <v>22</v>
      </c>
      <c r="T2" s="14" t="s">
        <v>23</v>
      </c>
    </row>
    <row r="3" spans="1:20" ht="16.5" x14ac:dyDescent="0.3">
      <c r="A3" s="1" t="s">
        <v>7</v>
      </c>
      <c r="B3" s="1"/>
      <c r="C3" s="18">
        <v>0.09</v>
      </c>
      <c r="D3" s="1"/>
      <c r="E3" s="1"/>
      <c r="H3" s="3" t="s">
        <v>13</v>
      </c>
      <c r="I3" s="23">
        <f ca="1">B13</f>
        <v>68.559876545995849</v>
      </c>
      <c r="K3" s="3" t="s">
        <v>14</v>
      </c>
      <c r="L3" s="24">
        <f ca="1">B24</f>
        <v>112.20547463959116</v>
      </c>
      <c r="N3" s="17">
        <v>0</v>
      </c>
      <c r="O3" s="16">
        <f>H28</f>
        <v>-291.43256841114544</v>
      </c>
      <c r="P3" s="15">
        <f>COUNTIF(I4:I1003,"&gt;="&amp;O3)-COUNTIF(I4:I1003,"&gt;="&amp;O4)</f>
        <v>5</v>
      </c>
      <c r="R3" s="17">
        <v>0</v>
      </c>
      <c r="S3" s="16">
        <f>H31</f>
        <v>-31.519651561984631</v>
      </c>
      <c r="T3" s="1">
        <f>COUNTIF(L4:L1003,"&gt;="&amp;S3)-COUNTIF(L4:L1003,"&gt;="&amp;S4)</f>
        <v>7</v>
      </c>
    </row>
    <row r="4" spans="1:20" ht="16.5" x14ac:dyDescent="0.3">
      <c r="I4">
        <f t="dataTable" ref="I4:I1003" dt2D="0" dtr="0" r1="G3" ca="1"/>
        <v>63.757513207527381</v>
      </c>
      <c r="L4">
        <f t="dataTable" ref="L4:L1003" dt2D="0" dtr="0" r1="J3" ca="1"/>
        <v>42.594184325473975</v>
      </c>
      <c r="N4" s="17">
        <v>1</v>
      </c>
      <c r="O4" s="16">
        <f>O3+$O$25</f>
        <v>-255.89791723126262</v>
      </c>
      <c r="P4" s="15">
        <f t="shared" ref="P4:P23" si="0">COUNTIF(I5:I1004,"&gt;="&amp;O4)-COUNTIF(I5:I1004,"&gt;="&amp;O5)</f>
        <v>8</v>
      </c>
      <c r="R4" s="17">
        <v>1</v>
      </c>
      <c r="S4" s="16">
        <f>S3+$S$25</f>
        <v>-16.082495595181811</v>
      </c>
      <c r="T4" s="1">
        <f t="shared" ref="T4:T23" si="1">COUNTIF(L5:L1004,"&gt;="&amp;S4)-COUNTIF(L5:L1004,"&gt;="&amp;S5)</f>
        <v>9</v>
      </c>
    </row>
    <row r="5" spans="1:20" ht="16.5" x14ac:dyDescent="0.3">
      <c r="A5" s="25" t="s">
        <v>11</v>
      </c>
      <c r="B5" s="25"/>
      <c r="C5" s="25"/>
      <c r="D5" s="25"/>
      <c r="E5" s="25"/>
      <c r="I5">
        <v>-30.172556616220049</v>
      </c>
      <c r="L5">
        <v>107.36882336117077</v>
      </c>
      <c r="N5" s="17">
        <v>2</v>
      </c>
      <c r="O5" s="16">
        <f>O4+$O$25</f>
        <v>-220.36326605137981</v>
      </c>
      <c r="P5" s="15">
        <f t="shared" si="0"/>
        <v>13</v>
      </c>
      <c r="R5" s="17">
        <v>2</v>
      </c>
      <c r="S5" s="16">
        <f t="shared" ref="S5:S22" si="2">S4+$S$25</f>
        <v>-0.64533962837899139</v>
      </c>
      <c r="T5" s="1">
        <f t="shared" si="1"/>
        <v>8</v>
      </c>
    </row>
    <row r="6" spans="1:20" ht="16.5" x14ac:dyDescent="0.3">
      <c r="A6" s="1" t="s">
        <v>1</v>
      </c>
      <c r="B6" s="1"/>
      <c r="C6" s="1">
        <v>1</v>
      </c>
      <c r="D6" s="1">
        <v>1</v>
      </c>
      <c r="E6" s="1">
        <v>1</v>
      </c>
      <c r="I6">
        <v>-224.95010503482831</v>
      </c>
      <c r="L6">
        <v>140.74416110429598</v>
      </c>
      <c r="N6" s="17">
        <v>3</v>
      </c>
      <c r="O6" s="16">
        <f t="shared" ref="O6:O22" si="3">O5+$O$25</f>
        <v>-184.828614871497</v>
      </c>
      <c r="P6" s="15">
        <f t="shared" si="0"/>
        <v>25</v>
      </c>
      <c r="R6" s="17">
        <v>3</v>
      </c>
      <c r="S6" s="16">
        <f t="shared" si="2"/>
        <v>14.791816338423828</v>
      </c>
      <c r="T6" s="1">
        <f t="shared" si="1"/>
        <v>17</v>
      </c>
    </row>
    <row r="7" spans="1:20" ht="16.5" x14ac:dyDescent="0.3">
      <c r="A7" s="1" t="s">
        <v>4</v>
      </c>
      <c r="B7" s="1"/>
      <c r="C7" s="1">
        <v>0.9</v>
      </c>
      <c r="D7" s="1">
        <v>0.9</v>
      </c>
      <c r="E7" s="1">
        <v>0.9</v>
      </c>
      <c r="I7">
        <v>25.045435856711038</v>
      </c>
      <c r="L7">
        <v>39.594417227976294</v>
      </c>
      <c r="N7" s="17">
        <v>4</v>
      </c>
      <c r="O7" s="16">
        <f t="shared" si="3"/>
        <v>-149.29396369161418</v>
      </c>
      <c r="P7" s="15">
        <f t="shared" si="0"/>
        <v>26</v>
      </c>
      <c r="R7" s="17">
        <v>4</v>
      </c>
      <c r="S7" s="16">
        <f t="shared" si="2"/>
        <v>30.228972305226648</v>
      </c>
      <c r="T7" s="1">
        <f t="shared" si="1"/>
        <v>11</v>
      </c>
    </row>
    <row r="8" spans="1:20" ht="16.5" x14ac:dyDescent="0.3">
      <c r="A8" s="1" t="s">
        <v>3</v>
      </c>
      <c r="B8" s="1">
        <v>900</v>
      </c>
      <c r="C8" s="1">
        <v>0</v>
      </c>
      <c r="D8" s="1">
        <v>0</v>
      </c>
      <c r="E8" s="1">
        <v>0</v>
      </c>
      <c r="I8">
        <v>201.04994519213187</v>
      </c>
      <c r="L8">
        <v>195.66714624987901</v>
      </c>
      <c r="N8" s="17">
        <v>5</v>
      </c>
      <c r="O8" s="16">
        <f t="shared" si="3"/>
        <v>-113.75931251173138</v>
      </c>
      <c r="P8" s="15">
        <f t="shared" si="0"/>
        <v>44</v>
      </c>
      <c r="R8" s="17">
        <v>5</v>
      </c>
      <c r="S8" s="16">
        <f t="shared" si="2"/>
        <v>45.666128272029468</v>
      </c>
      <c r="T8" s="1">
        <f t="shared" si="1"/>
        <v>13</v>
      </c>
    </row>
    <row r="9" spans="1:20" ht="16.5" x14ac:dyDescent="0.3">
      <c r="A9" s="1" t="s">
        <v>2</v>
      </c>
      <c r="B9" s="1"/>
      <c r="C9" s="1">
        <v>1280</v>
      </c>
      <c r="D9" s="1">
        <v>1280</v>
      </c>
      <c r="E9" s="1">
        <v>1280</v>
      </c>
      <c r="I9">
        <v>169.47878684071679</v>
      </c>
      <c r="L9">
        <v>268.40095976352211</v>
      </c>
      <c r="N9" s="17">
        <v>6</v>
      </c>
      <c r="O9" s="16">
        <f t="shared" si="3"/>
        <v>-78.22466133184858</v>
      </c>
      <c r="P9" s="15">
        <f t="shared" si="0"/>
        <v>41</v>
      </c>
      <c r="R9" s="17">
        <v>6</v>
      </c>
      <c r="S9" s="16">
        <f t="shared" si="2"/>
        <v>61.103284238832288</v>
      </c>
      <c r="T9" s="1">
        <f t="shared" si="1"/>
        <v>13</v>
      </c>
    </row>
    <row r="10" spans="1:20" ht="16.5" x14ac:dyDescent="0.3">
      <c r="A10" s="1" t="s">
        <v>6</v>
      </c>
      <c r="B10" s="1"/>
      <c r="C10" s="1"/>
      <c r="D10" s="1"/>
      <c r="E10" s="1">
        <v>0</v>
      </c>
      <c r="I10">
        <v>-78.636173945806149</v>
      </c>
      <c r="L10">
        <v>141.52293114671551</v>
      </c>
      <c r="N10" s="17">
        <v>7</v>
      </c>
      <c r="O10" s="16">
        <f t="shared" si="3"/>
        <v>-42.69001015196578</v>
      </c>
      <c r="P10" s="15">
        <f t="shared" si="0"/>
        <v>68</v>
      </c>
      <c r="R10" s="17">
        <v>7</v>
      </c>
      <c r="S10" s="16">
        <f t="shared" si="2"/>
        <v>76.540440205635107</v>
      </c>
      <c r="T10" s="1">
        <f t="shared" si="1"/>
        <v>25</v>
      </c>
    </row>
    <row r="11" spans="1:20" ht="16.5" x14ac:dyDescent="0.3">
      <c r="A11" s="1" t="s">
        <v>9</v>
      </c>
      <c r="B11" s="1"/>
      <c r="C11" s="1">
        <v>2000</v>
      </c>
      <c r="D11" s="1">
        <v>2000</v>
      </c>
      <c r="E11" s="1">
        <v>2000</v>
      </c>
      <c r="I11">
        <v>226.14658381187951</v>
      </c>
      <c r="L11">
        <v>141.52293114671551</v>
      </c>
      <c r="N11" s="17">
        <v>8</v>
      </c>
      <c r="O11" s="16">
        <f t="shared" si="3"/>
        <v>-7.1553589720829791</v>
      </c>
      <c r="P11" s="15">
        <f t="shared" si="0"/>
        <v>81</v>
      </c>
      <c r="R11" s="17">
        <v>8</v>
      </c>
      <c r="S11" s="16">
        <f t="shared" si="2"/>
        <v>91.977596172437927</v>
      </c>
      <c r="T11" s="1">
        <f t="shared" si="1"/>
        <v>45</v>
      </c>
    </row>
    <row r="12" spans="1:20" ht="16.5" x14ac:dyDescent="0.3">
      <c r="A12" s="2" t="s">
        <v>10</v>
      </c>
      <c r="B12" s="2"/>
      <c r="C12" s="21">
        <f ca="1">NPV(C3,MIN(C2,C7)*(C11-C9))</f>
        <v>108.21223525382884</v>
      </c>
      <c r="D12" s="20">
        <f ca="1">NPV(C3,0,MIN(D2,D7)*(D11-D9))</f>
        <v>414.50319346795555</v>
      </c>
      <c r="E12" s="20">
        <f ca="1">NPV(C3,0,0,MIN(E2,E7)*(E11-E9))</f>
        <v>445.8444478242115</v>
      </c>
      <c r="I12">
        <v>-55.278569474728783</v>
      </c>
      <c r="L12">
        <v>129.57947986432583</v>
      </c>
      <c r="N12" s="17">
        <v>9</v>
      </c>
      <c r="O12" s="16">
        <f t="shared" si="3"/>
        <v>28.379292207799821</v>
      </c>
      <c r="P12" s="15">
        <f t="shared" si="0"/>
        <v>98</v>
      </c>
      <c r="R12" s="17">
        <v>9</v>
      </c>
      <c r="S12" s="16">
        <f t="shared" si="2"/>
        <v>107.41475213924075</v>
      </c>
      <c r="T12" s="1">
        <f t="shared" si="1"/>
        <v>129</v>
      </c>
    </row>
    <row r="13" spans="1:20" ht="16.5" x14ac:dyDescent="0.3">
      <c r="A13" s="2" t="s">
        <v>8</v>
      </c>
      <c r="B13" s="21">
        <f ca="1">-B8+SUM(C12:E12)</f>
        <v>68.559876545995849</v>
      </c>
      <c r="C13" s="1"/>
      <c r="D13" s="2"/>
      <c r="E13" s="2"/>
      <c r="I13">
        <v>176.73944738997716</v>
      </c>
      <c r="L13">
        <v>153.20890165654941</v>
      </c>
      <c r="N13" s="17">
        <v>10</v>
      </c>
      <c r="O13" s="16">
        <f t="shared" si="3"/>
        <v>63.913943387682622</v>
      </c>
      <c r="P13" s="15">
        <f t="shared" si="0"/>
        <v>84</v>
      </c>
      <c r="R13" s="17">
        <v>10</v>
      </c>
      <c r="S13" s="16">
        <f t="shared" si="2"/>
        <v>122.85190810604357</v>
      </c>
      <c r="T13" s="1">
        <f t="shared" si="1"/>
        <v>114</v>
      </c>
    </row>
    <row r="14" spans="1:20" ht="16.5" x14ac:dyDescent="0.3">
      <c r="I14">
        <v>387.11144503212427</v>
      </c>
      <c r="L14">
        <v>257.20203502160098</v>
      </c>
      <c r="N14" s="17">
        <v>11</v>
      </c>
      <c r="O14" s="16">
        <f t="shared" si="3"/>
        <v>99.448594567565422</v>
      </c>
      <c r="P14" s="15">
        <f t="shared" si="0"/>
        <v>95</v>
      </c>
      <c r="R14" s="17">
        <v>11</v>
      </c>
      <c r="S14" s="16">
        <f t="shared" si="2"/>
        <v>138.28906407284637</v>
      </c>
      <c r="T14" s="1">
        <f t="shared" si="1"/>
        <v>231</v>
      </c>
    </row>
    <row r="15" spans="1:20" ht="16.5" x14ac:dyDescent="0.3">
      <c r="A15" s="25" t="s">
        <v>12</v>
      </c>
      <c r="B15" s="25"/>
      <c r="C15" s="25"/>
      <c r="D15" s="25"/>
      <c r="E15" s="25"/>
      <c r="I15">
        <v>327.42196884709892</v>
      </c>
      <c r="L15">
        <v>184.36878659370609</v>
      </c>
      <c r="N15" s="17">
        <v>12</v>
      </c>
      <c r="O15" s="16">
        <f t="shared" si="3"/>
        <v>134.98324574744822</v>
      </c>
      <c r="P15" s="15">
        <f t="shared" si="0"/>
        <v>80</v>
      </c>
      <c r="R15" s="17">
        <v>12</v>
      </c>
      <c r="S15" s="16">
        <f t="shared" si="2"/>
        <v>153.72622003964921</v>
      </c>
      <c r="T15" s="1">
        <f t="shared" si="1"/>
        <v>116</v>
      </c>
    </row>
    <row r="16" spans="1:20" ht="16.5" x14ac:dyDescent="0.3">
      <c r="A16" s="1" t="s">
        <v>0</v>
      </c>
      <c r="B16" s="1">
        <v>0</v>
      </c>
      <c r="C16" s="1">
        <v>1</v>
      </c>
      <c r="D16" s="1">
        <v>2</v>
      </c>
      <c r="E16" s="1">
        <v>3</v>
      </c>
      <c r="I16">
        <v>99.498288699994191</v>
      </c>
      <c r="L16">
        <v>141.52293114671551</v>
      </c>
      <c r="N16" s="17">
        <v>13</v>
      </c>
      <c r="O16" s="16">
        <f t="shared" si="3"/>
        <v>170.51789692733104</v>
      </c>
      <c r="P16" s="15">
        <f t="shared" si="0"/>
        <v>95</v>
      </c>
      <c r="R16" s="17">
        <v>13</v>
      </c>
      <c r="S16" s="16">
        <f t="shared" si="2"/>
        <v>169.16337600645204</v>
      </c>
      <c r="T16" s="1">
        <f t="shared" si="1"/>
        <v>69</v>
      </c>
    </row>
    <row r="17" spans="1:20" ht="16.5" x14ac:dyDescent="0.3">
      <c r="A17" s="1" t="s">
        <v>1</v>
      </c>
      <c r="B17" s="1"/>
      <c r="C17" s="1">
        <v>1</v>
      </c>
      <c r="D17" s="1">
        <v>2</v>
      </c>
      <c r="E17" s="1">
        <v>3</v>
      </c>
      <c r="I17">
        <v>114.68375556855449</v>
      </c>
      <c r="L17">
        <v>138.77467420130472</v>
      </c>
      <c r="N17" s="17">
        <v>14</v>
      </c>
      <c r="O17" s="16">
        <f t="shared" si="3"/>
        <v>206.05254810721385</v>
      </c>
      <c r="P17" s="15">
        <f t="shared" si="0"/>
        <v>68</v>
      </c>
      <c r="R17" s="17">
        <v>14</v>
      </c>
      <c r="S17" s="16">
        <f t="shared" si="2"/>
        <v>184.60053197325487</v>
      </c>
      <c r="T17" s="1">
        <f t="shared" si="1"/>
        <v>37</v>
      </c>
    </row>
    <row r="18" spans="1:20" ht="16.5" x14ac:dyDescent="0.3">
      <c r="A18" s="1" t="s">
        <v>4</v>
      </c>
      <c r="B18" s="1"/>
      <c r="C18" s="1">
        <v>0.3</v>
      </c>
      <c r="D18" s="1">
        <f ca="1">IF(C19=300,0.6,0.3)</f>
        <v>0.3</v>
      </c>
      <c r="E18" s="1">
        <f ca="1">IF(AND(C19=300,D19=300),0.9,IF(OR(D19=300,D18=0.6),0.6,0.3))</f>
        <v>0.6</v>
      </c>
      <c r="I18">
        <v>-71.429192334450022</v>
      </c>
      <c r="L18">
        <v>108.45340431952508</v>
      </c>
      <c r="N18" s="17">
        <v>15</v>
      </c>
      <c r="O18" s="16">
        <f t="shared" si="3"/>
        <v>241.58719928709667</v>
      </c>
      <c r="P18" s="15">
        <f t="shared" si="0"/>
        <v>57</v>
      </c>
      <c r="R18" s="17">
        <v>15</v>
      </c>
      <c r="S18" s="16">
        <f t="shared" si="2"/>
        <v>200.03768794005771</v>
      </c>
      <c r="T18" s="1">
        <f t="shared" si="1"/>
        <v>36</v>
      </c>
    </row>
    <row r="19" spans="1:20" ht="16.5" x14ac:dyDescent="0.3">
      <c r="A19" s="1" t="s">
        <v>3</v>
      </c>
      <c r="B19" s="1">
        <v>300</v>
      </c>
      <c r="C19" s="1">
        <f ca="1">IF(C2&gt;C18,300,0)</f>
        <v>0</v>
      </c>
      <c r="D19" s="1">
        <f ca="1">IF(D2&gt;D18,300,0)</f>
        <v>300</v>
      </c>
      <c r="E19" s="1">
        <v>0</v>
      </c>
      <c r="I19">
        <v>50.572229383804029</v>
      </c>
      <c r="L19">
        <v>160.38290130570886</v>
      </c>
      <c r="N19" s="17">
        <v>16</v>
      </c>
      <c r="O19" s="16">
        <f t="shared" si="3"/>
        <v>277.12185046697948</v>
      </c>
      <c r="P19" s="15">
        <f t="shared" si="0"/>
        <v>48</v>
      </c>
      <c r="R19" s="17">
        <v>16</v>
      </c>
      <c r="S19" s="16">
        <f t="shared" si="2"/>
        <v>215.47484390686054</v>
      </c>
      <c r="T19" s="1">
        <f t="shared" si="1"/>
        <v>31</v>
      </c>
    </row>
    <row r="20" spans="1:20" ht="16.5" x14ac:dyDescent="0.3">
      <c r="A20" s="1" t="s">
        <v>2</v>
      </c>
      <c r="B20" s="1"/>
      <c r="C20" s="1">
        <v>1500</v>
      </c>
      <c r="D20" s="1">
        <v>1500</v>
      </c>
      <c r="E20" s="1">
        <v>1500</v>
      </c>
      <c r="I20">
        <v>267.57548592671287</v>
      </c>
      <c r="L20">
        <v>15.314088234834799</v>
      </c>
      <c r="N20" s="17">
        <v>17</v>
      </c>
      <c r="O20" s="16">
        <f t="shared" si="3"/>
        <v>312.6565016468623</v>
      </c>
      <c r="P20" s="15">
        <f t="shared" si="0"/>
        <v>21</v>
      </c>
      <c r="R20" s="17">
        <v>17</v>
      </c>
      <c r="S20" s="16">
        <f t="shared" si="2"/>
        <v>230.91199987366338</v>
      </c>
      <c r="T20" s="1">
        <f t="shared" si="1"/>
        <v>27</v>
      </c>
    </row>
    <row r="21" spans="1:20" ht="16.5" x14ac:dyDescent="0.3">
      <c r="A21" s="1" t="s">
        <v>6</v>
      </c>
      <c r="B21" s="1"/>
      <c r="C21" s="1"/>
      <c r="D21" s="1"/>
      <c r="E21" s="1">
        <v>300</v>
      </c>
      <c r="I21">
        <v>169.89222225388176</v>
      </c>
      <c r="L21">
        <v>145.08219629848276</v>
      </c>
      <c r="N21" s="17">
        <v>18</v>
      </c>
      <c r="O21" s="16">
        <f t="shared" si="3"/>
        <v>348.19115282674511</v>
      </c>
      <c r="P21" s="15">
        <f t="shared" si="0"/>
        <v>19</v>
      </c>
      <c r="R21" s="17">
        <v>18</v>
      </c>
      <c r="S21" s="16">
        <f t="shared" si="2"/>
        <v>246.34915584046621</v>
      </c>
      <c r="T21" s="1">
        <f t="shared" si="1"/>
        <v>28</v>
      </c>
    </row>
    <row r="22" spans="1:20" ht="16.5" x14ac:dyDescent="0.3">
      <c r="A22" s="1" t="s">
        <v>9</v>
      </c>
      <c r="B22" s="1"/>
      <c r="C22" s="1">
        <v>2000</v>
      </c>
      <c r="D22" s="1">
        <v>2000</v>
      </c>
      <c r="E22" s="1">
        <v>2000</v>
      </c>
      <c r="I22">
        <v>42.30215163891819</v>
      </c>
      <c r="L22">
        <v>151.8504956891021</v>
      </c>
      <c r="N22" s="17">
        <v>19</v>
      </c>
      <c r="O22" s="16">
        <f t="shared" si="3"/>
        <v>383.72580400662792</v>
      </c>
      <c r="P22" s="15">
        <f t="shared" si="0"/>
        <v>14</v>
      </c>
      <c r="R22" s="17">
        <v>19</v>
      </c>
      <c r="S22" s="16">
        <f t="shared" si="2"/>
        <v>261.78631180726904</v>
      </c>
      <c r="T22" s="1">
        <f t="shared" si="1"/>
        <v>21</v>
      </c>
    </row>
    <row r="23" spans="1:20" ht="16.5" x14ac:dyDescent="0.3">
      <c r="A23" s="2" t="s">
        <v>10</v>
      </c>
      <c r="B23" s="2"/>
      <c r="C23" s="20">
        <f ca="1">-NPV(C3,C19)+NPV(C3,MIN(C2,C18)*(C22-C20))</f>
        <v>75.147385592936686</v>
      </c>
      <c r="D23" s="20">
        <f ca="1">-NPV(C3,0,D19)+NPV(C3,0,MIN(D2,D18)*(D22-D20))</f>
        <v>-126.25199898998397</v>
      </c>
      <c r="E23" s="20">
        <f ca="1">NPV(C3,0,0,(MIN(E2,E18)*(E22-E20)+E21))</f>
        <v>463.31008803663843</v>
      </c>
      <c r="I23">
        <v>92.716813781819837</v>
      </c>
      <c r="L23">
        <v>141.52293114671551</v>
      </c>
      <c r="N23" s="17">
        <v>20</v>
      </c>
      <c r="O23" s="16">
        <f>H27</f>
        <v>419.26045518651063</v>
      </c>
      <c r="P23" s="15">
        <f t="shared" si="0"/>
        <v>1</v>
      </c>
      <c r="R23" s="17">
        <v>20</v>
      </c>
      <c r="S23" s="16">
        <f>H30</f>
        <v>277.22346777407176</v>
      </c>
      <c r="T23" s="1">
        <f t="shared" si="1"/>
        <v>1</v>
      </c>
    </row>
    <row r="24" spans="1:20" x14ac:dyDescent="0.25">
      <c r="A24" s="2" t="s">
        <v>8</v>
      </c>
      <c r="B24" s="20">
        <f ca="1">-B19+SUM(C23:E23)</f>
        <v>112.20547463959116</v>
      </c>
      <c r="C24" s="1"/>
      <c r="D24" s="2"/>
      <c r="E24" s="2"/>
      <c r="I24">
        <v>95.491123106744794</v>
      </c>
      <c r="L24">
        <v>170.41298248736473</v>
      </c>
    </row>
    <row r="25" spans="1:20" x14ac:dyDescent="0.25">
      <c r="I25">
        <v>136.78206069369162</v>
      </c>
      <c r="L25">
        <v>209.81251560772102</v>
      </c>
      <c r="N25" t="s">
        <v>21</v>
      </c>
      <c r="O25">
        <f>(H27-H28)/20</f>
        <v>35.5346511798828</v>
      </c>
      <c r="R25" t="s">
        <v>21</v>
      </c>
      <c r="S25">
        <f>(H30-H31)/20</f>
        <v>15.43715596680282</v>
      </c>
    </row>
    <row r="26" spans="1:20" x14ac:dyDescent="0.25">
      <c r="F26" s="4"/>
      <c r="G26" s="5" t="s">
        <v>16</v>
      </c>
      <c r="H26" s="6">
        <f>AVERAGE(I4:I1003)</f>
        <v>97.014069066092162</v>
      </c>
      <c r="I26">
        <v>41.818399750431013</v>
      </c>
      <c r="L26">
        <v>264.45941122420504</v>
      </c>
    </row>
    <row r="27" spans="1:20" x14ac:dyDescent="0.25">
      <c r="F27" s="7" t="s">
        <v>17</v>
      </c>
      <c r="G27" s="8" t="s">
        <v>18</v>
      </c>
      <c r="H27" s="9">
        <f>MAX(I4:I1003)</f>
        <v>419.26045518651063</v>
      </c>
      <c r="I27">
        <v>61.575190659919599</v>
      </c>
      <c r="L27">
        <v>115.18556746244991</v>
      </c>
    </row>
    <row r="28" spans="1:20" x14ac:dyDescent="0.25">
      <c r="F28" s="10"/>
      <c r="G28" s="11" t="s">
        <v>19</v>
      </c>
      <c r="H28" s="12">
        <f>MIN(I4:I1003)</f>
        <v>-291.43256841114544</v>
      </c>
      <c r="I28">
        <v>44.832491936653014</v>
      </c>
      <c r="L28">
        <v>162.0151593070841</v>
      </c>
    </row>
    <row r="29" spans="1:20" x14ac:dyDescent="0.25">
      <c r="F29" s="4"/>
      <c r="G29" s="5" t="s">
        <v>16</v>
      </c>
      <c r="H29" s="6">
        <f>AVERAGE(L4:L1003)</f>
        <v>145.25547841901354</v>
      </c>
      <c r="I29">
        <v>61.908434766718983</v>
      </c>
      <c r="L29">
        <v>162.91742376678661</v>
      </c>
    </row>
    <row r="30" spans="1:20" x14ac:dyDescent="0.25">
      <c r="F30" s="7" t="s">
        <v>20</v>
      </c>
      <c r="G30" s="8" t="s">
        <v>18</v>
      </c>
      <c r="H30" s="9">
        <f>MAX(L4:L1003)</f>
        <v>277.22346777407176</v>
      </c>
      <c r="I30">
        <v>-88.762973024688108</v>
      </c>
      <c r="L30">
        <v>123.2317482065925</v>
      </c>
    </row>
    <row r="31" spans="1:20" x14ac:dyDescent="0.25">
      <c r="F31" s="10"/>
      <c r="G31" s="11" t="s">
        <v>19</v>
      </c>
      <c r="H31" s="12">
        <f>MIN(L4:L1003)</f>
        <v>-31.519651561984631</v>
      </c>
      <c r="I31">
        <v>215.83021313023391</v>
      </c>
      <c r="L31">
        <v>141.52293114671551</v>
      </c>
    </row>
    <row r="32" spans="1:20" x14ac:dyDescent="0.25">
      <c r="I32">
        <v>158.59395316445261</v>
      </c>
      <c r="L32">
        <v>-18.218570792674939</v>
      </c>
    </row>
    <row r="33" spans="3:12" x14ac:dyDescent="0.25">
      <c r="I33">
        <v>173.66542145362564</v>
      </c>
      <c r="L33">
        <v>118.79232855055642</v>
      </c>
    </row>
    <row r="34" spans="3:12" x14ac:dyDescent="0.25">
      <c r="I34">
        <v>-106.63720456744113</v>
      </c>
      <c r="L34">
        <v>140.13683993857478</v>
      </c>
    </row>
    <row r="35" spans="3:12" x14ac:dyDescent="0.25">
      <c r="C35" t="s">
        <v>27</v>
      </c>
      <c r="D35">
        <f>_xlfn.STDEV.P(I4:I1003)</f>
        <v>141.71038497251868</v>
      </c>
      <c r="I35">
        <v>25.181696115407476</v>
      </c>
      <c r="L35">
        <v>124.6735995158009</v>
      </c>
    </row>
    <row r="36" spans="3:12" x14ac:dyDescent="0.25">
      <c r="C36" t="s">
        <v>28</v>
      </c>
      <c r="D36">
        <f>_xlfn.STDEV.P(L4:L1003)</f>
        <v>54.071244794731221</v>
      </c>
      <c r="I36">
        <v>-183.69549286907488</v>
      </c>
      <c r="L36">
        <v>153.94084191744633</v>
      </c>
    </row>
    <row r="37" spans="3:12" x14ac:dyDescent="0.25">
      <c r="I37">
        <v>-1.8220558452173918</v>
      </c>
      <c r="L37">
        <v>124.06778861213013</v>
      </c>
    </row>
    <row r="38" spans="3:12" x14ac:dyDescent="0.25">
      <c r="I38">
        <v>126.24134842715694</v>
      </c>
      <c r="L38">
        <v>87.688999349469327</v>
      </c>
    </row>
    <row r="39" spans="3:12" x14ac:dyDescent="0.25">
      <c r="I39">
        <v>4.3247725941507724</v>
      </c>
      <c r="L39">
        <v>141.52293114671551</v>
      </c>
    </row>
    <row r="40" spans="3:12" x14ac:dyDescent="0.25">
      <c r="I40">
        <v>161.42257816137999</v>
      </c>
      <c r="L40">
        <v>107.27165011406998</v>
      </c>
    </row>
    <row r="41" spans="3:12" x14ac:dyDescent="0.25">
      <c r="I41">
        <v>373.60278590691678</v>
      </c>
      <c r="L41">
        <v>138.95509113358781</v>
      </c>
    </row>
    <row r="42" spans="3:12" x14ac:dyDescent="0.25">
      <c r="I42">
        <v>-134.9674247398973</v>
      </c>
      <c r="L42">
        <v>155.646857292324</v>
      </c>
    </row>
    <row r="43" spans="3:12" x14ac:dyDescent="0.25">
      <c r="I43">
        <v>230.98785673072393</v>
      </c>
      <c r="L43">
        <v>109.04135539612582</v>
      </c>
    </row>
    <row r="44" spans="3:12" x14ac:dyDescent="0.25">
      <c r="I44">
        <v>44.577029055176126</v>
      </c>
      <c r="L44">
        <v>200.5691532990711</v>
      </c>
    </row>
    <row r="45" spans="3:12" x14ac:dyDescent="0.25">
      <c r="I45">
        <v>360.02694208341472</v>
      </c>
      <c r="L45">
        <v>220.62155337957176</v>
      </c>
    </row>
    <row r="46" spans="3:12" x14ac:dyDescent="0.25">
      <c r="I46">
        <v>-89.79041125929848</v>
      </c>
      <c r="L46">
        <v>174.48821039195627</v>
      </c>
    </row>
    <row r="47" spans="3:12" x14ac:dyDescent="0.25">
      <c r="I47">
        <v>104.97376960823374</v>
      </c>
      <c r="L47">
        <v>135.84476726421138</v>
      </c>
    </row>
    <row r="48" spans="3:12" x14ac:dyDescent="0.25">
      <c r="I48">
        <v>353.2785610123392</v>
      </c>
      <c r="L48">
        <v>158.36866636620687</v>
      </c>
    </row>
    <row r="49" spans="9:12" x14ac:dyDescent="0.25">
      <c r="I49">
        <v>270.52435685309229</v>
      </c>
      <c r="L49">
        <v>166.87283548269806</v>
      </c>
    </row>
    <row r="50" spans="9:12" x14ac:dyDescent="0.25">
      <c r="I50">
        <v>89.519294956363524</v>
      </c>
      <c r="L50">
        <v>27.630592730345313</v>
      </c>
    </row>
    <row r="51" spans="9:12" x14ac:dyDescent="0.25">
      <c r="I51">
        <v>184.77258813538924</v>
      </c>
      <c r="L51">
        <v>116.86343396637824</v>
      </c>
    </row>
    <row r="52" spans="9:12" x14ac:dyDescent="0.25">
      <c r="I52">
        <v>355.5227021661201</v>
      </c>
      <c r="L52">
        <v>233.49744321283902</v>
      </c>
    </row>
    <row r="53" spans="9:12" x14ac:dyDescent="0.25">
      <c r="I53">
        <v>13.700572940619622</v>
      </c>
      <c r="L53">
        <v>123.97546807694533</v>
      </c>
    </row>
    <row r="54" spans="9:12" x14ac:dyDescent="0.25">
      <c r="I54">
        <v>0.8762532906157503</v>
      </c>
      <c r="L54">
        <v>237.28446342029656</v>
      </c>
    </row>
    <row r="55" spans="9:12" x14ac:dyDescent="0.25">
      <c r="I55">
        <v>-64.970818976254805</v>
      </c>
      <c r="L55">
        <v>118.26303906154214</v>
      </c>
    </row>
    <row r="56" spans="9:12" x14ac:dyDescent="0.25">
      <c r="I56">
        <v>221.91705282474322</v>
      </c>
      <c r="L56">
        <v>140.57549146537161</v>
      </c>
    </row>
    <row r="57" spans="9:12" x14ac:dyDescent="0.25">
      <c r="I57">
        <v>230.34044366924263</v>
      </c>
      <c r="L57">
        <v>141.52293114671551</v>
      </c>
    </row>
    <row r="58" spans="9:12" x14ac:dyDescent="0.25">
      <c r="I58">
        <v>270.75857605572583</v>
      </c>
      <c r="L58">
        <v>-24.901420066159858</v>
      </c>
    </row>
    <row r="59" spans="9:12" x14ac:dyDescent="0.25">
      <c r="I59">
        <v>216.2735207780288</v>
      </c>
      <c r="L59">
        <v>10.336830772432222</v>
      </c>
    </row>
    <row r="60" spans="9:12" x14ac:dyDescent="0.25">
      <c r="I60">
        <v>-6.5202426576386188</v>
      </c>
      <c r="L60">
        <v>102.87975255371003</v>
      </c>
    </row>
    <row r="61" spans="9:12" x14ac:dyDescent="0.25">
      <c r="I61">
        <v>183.64463587790647</v>
      </c>
      <c r="L61">
        <v>131.65626126115177</v>
      </c>
    </row>
    <row r="62" spans="9:12" x14ac:dyDescent="0.25">
      <c r="I62">
        <v>134.41210428390127</v>
      </c>
      <c r="L62">
        <v>141.52293114671551</v>
      </c>
    </row>
    <row r="63" spans="9:12" x14ac:dyDescent="0.25">
      <c r="I63">
        <v>22.400393433970976</v>
      </c>
      <c r="L63">
        <v>153.49984039494836</v>
      </c>
    </row>
    <row r="64" spans="9:12" x14ac:dyDescent="0.25">
      <c r="I64">
        <v>196.52824420184743</v>
      </c>
      <c r="L64">
        <v>194.75351570178066</v>
      </c>
    </row>
    <row r="65" spans="9:12" x14ac:dyDescent="0.25">
      <c r="I65">
        <v>48.18535354722826</v>
      </c>
      <c r="L65">
        <v>140.78513843733526</v>
      </c>
    </row>
    <row r="66" spans="9:12" x14ac:dyDescent="0.25">
      <c r="I66">
        <v>289.50531281002918</v>
      </c>
      <c r="L66">
        <v>164.06051641519775</v>
      </c>
    </row>
    <row r="67" spans="9:12" x14ac:dyDescent="0.25">
      <c r="I67">
        <v>207.63590665890365</v>
      </c>
      <c r="L67">
        <v>255.64193529675413</v>
      </c>
    </row>
    <row r="68" spans="9:12" x14ac:dyDescent="0.25">
      <c r="I68">
        <v>129.43064962765334</v>
      </c>
      <c r="L68">
        <v>92.311772611190179</v>
      </c>
    </row>
    <row r="69" spans="9:12" x14ac:dyDescent="0.25">
      <c r="I69">
        <v>-1.7305888533660436</v>
      </c>
      <c r="L69">
        <v>106.9980651259491</v>
      </c>
    </row>
    <row r="70" spans="9:12" x14ac:dyDescent="0.25">
      <c r="I70">
        <v>205.33633180266906</v>
      </c>
      <c r="L70">
        <v>104.95158755257444</v>
      </c>
    </row>
    <row r="71" spans="9:12" x14ac:dyDescent="0.25">
      <c r="I71">
        <v>-92.91438191792281</v>
      </c>
      <c r="L71">
        <v>78.391283693797163</v>
      </c>
    </row>
    <row r="72" spans="9:12" x14ac:dyDescent="0.25">
      <c r="I72">
        <v>114.57226471883439</v>
      </c>
      <c r="L72">
        <v>109.20193307007037</v>
      </c>
    </row>
    <row r="73" spans="9:12" x14ac:dyDescent="0.25">
      <c r="I73">
        <v>20.341222568670219</v>
      </c>
      <c r="L73">
        <v>137.58169246804198</v>
      </c>
    </row>
    <row r="74" spans="9:12" x14ac:dyDescent="0.25">
      <c r="I74">
        <v>404.12345552030934</v>
      </c>
      <c r="L74">
        <v>146.85693074879521</v>
      </c>
    </row>
    <row r="75" spans="9:12" x14ac:dyDescent="0.25">
      <c r="I75">
        <v>13.334029099155941</v>
      </c>
      <c r="L75">
        <v>41.098395734123812</v>
      </c>
    </row>
    <row r="76" spans="9:12" x14ac:dyDescent="0.25">
      <c r="I76">
        <v>160.59266613902946</v>
      </c>
      <c r="L76">
        <v>217.36359955730791</v>
      </c>
    </row>
    <row r="77" spans="9:12" x14ac:dyDescent="0.25">
      <c r="I77">
        <v>322.99756347701168</v>
      </c>
      <c r="L77">
        <v>106.70712655627329</v>
      </c>
    </row>
    <row r="78" spans="9:12" x14ac:dyDescent="0.25">
      <c r="I78">
        <v>-204.23662338039458</v>
      </c>
      <c r="L78">
        <v>206.25787466545239</v>
      </c>
    </row>
    <row r="79" spans="9:12" x14ac:dyDescent="0.25">
      <c r="I79">
        <v>-60.545197263983482</v>
      </c>
      <c r="L79">
        <v>155.43753759915444</v>
      </c>
    </row>
    <row r="80" spans="9:12" x14ac:dyDescent="0.25">
      <c r="I80">
        <v>9.1345626054522882</v>
      </c>
      <c r="L80">
        <v>126.096637627115</v>
      </c>
    </row>
    <row r="81" spans="9:12" x14ac:dyDescent="0.25">
      <c r="I81">
        <v>221.82207344276026</v>
      </c>
      <c r="L81">
        <v>171.3652991830682</v>
      </c>
    </row>
    <row r="82" spans="9:12" x14ac:dyDescent="0.25">
      <c r="I82">
        <v>85.208297412303637</v>
      </c>
      <c r="L82">
        <v>144.02469303508718</v>
      </c>
    </row>
    <row r="83" spans="9:12" x14ac:dyDescent="0.25">
      <c r="I83">
        <v>184.77330464980787</v>
      </c>
      <c r="L83">
        <v>231.16199763243776</v>
      </c>
    </row>
    <row r="84" spans="9:12" x14ac:dyDescent="0.25">
      <c r="I84">
        <v>79.036552670950641</v>
      </c>
      <c r="L84">
        <v>32.883843867114933</v>
      </c>
    </row>
    <row r="85" spans="9:12" x14ac:dyDescent="0.25">
      <c r="I85">
        <v>-12.102633027849151</v>
      </c>
      <c r="L85">
        <v>147.22153592036506</v>
      </c>
    </row>
    <row r="86" spans="9:12" x14ac:dyDescent="0.25">
      <c r="I86">
        <v>193.42772742053967</v>
      </c>
      <c r="L86">
        <v>48.460747031280562</v>
      </c>
    </row>
    <row r="87" spans="9:12" x14ac:dyDescent="0.25">
      <c r="I87">
        <v>-12.024532138230029</v>
      </c>
      <c r="L87">
        <v>141.52293114671551</v>
      </c>
    </row>
    <row r="88" spans="9:12" x14ac:dyDescent="0.25">
      <c r="I88">
        <v>224.72304422832121</v>
      </c>
      <c r="L88">
        <v>132.56371975688427</v>
      </c>
    </row>
    <row r="89" spans="9:12" x14ac:dyDescent="0.25">
      <c r="I89">
        <v>226.14857947082828</v>
      </c>
      <c r="L89">
        <v>155.64694797066454</v>
      </c>
    </row>
    <row r="90" spans="9:12" x14ac:dyDescent="0.25">
      <c r="I90">
        <v>197.18931170469295</v>
      </c>
      <c r="L90">
        <v>184.3001014584197</v>
      </c>
    </row>
    <row r="91" spans="9:12" x14ac:dyDescent="0.25">
      <c r="I91">
        <v>336.20931365966862</v>
      </c>
      <c r="L91">
        <v>141.52293114671551</v>
      </c>
    </row>
    <row r="92" spans="9:12" x14ac:dyDescent="0.25">
      <c r="I92">
        <v>169.56054650500982</v>
      </c>
      <c r="L92">
        <v>257.05431306358901</v>
      </c>
    </row>
    <row r="93" spans="9:12" x14ac:dyDescent="0.25">
      <c r="I93">
        <v>364.53054154375445</v>
      </c>
      <c r="L93">
        <v>87.381201767256414</v>
      </c>
    </row>
    <row r="94" spans="9:12" x14ac:dyDescent="0.25">
      <c r="I94">
        <v>101.83142238780704</v>
      </c>
      <c r="L94">
        <v>54.806998837494632</v>
      </c>
    </row>
    <row r="95" spans="9:12" x14ac:dyDescent="0.25">
      <c r="I95">
        <v>218.10893427968313</v>
      </c>
      <c r="L95">
        <v>121.33772807597256</v>
      </c>
    </row>
    <row r="96" spans="9:12" x14ac:dyDescent="0.25">
      <c r="I96">
        <v>-231.56413629185738</v>
      </c>
      <c r="L96">
        <v>161.03135020253353</v>
      </c>
    </row>
    <row r="97" spans="9:12" x14ac:dyDescent="0.25">
      <c r="I97">
        <v>76.135235231065167</v>
      </c>
      <c r="L97">
        <v>172.23356628576465</v>
      </c>
    </row>
    <row r="98" spans="9:12" x14ac:dyDescent="0.25">
      <c r="I98">
        <v>309.73941791865218</v>
      </c>
      <c r="L98">
        <v>91.542480624203279</v>
      </c>
    </row>
    <row r="99" spans="9:12" x14ac:dyDescent="0.25">
      <c r="I99">
        <v>112.81941347660427</v>
      </c>
      <c r="L99">
        <v>141.52293114671551</v>
      </c>
    </row>
    <row r="100" spans="9:12" x14ac:dyDescent="0.25">
      <c r="I100">
        <v>218.28618146773465</v>
      </c>
      <c r="L100">
        <v>158.80071148534654</v>
      </c>
    </row>
    <row r="101" spans="9:12" x14ac:dyDescent="0.25">
      <c r="I101">
        <v>109.28194922249395</v>
      </c>
      <c r="L101">
        <v>131.31723911980703</v>
      </c>
    </row>
    <row r="102" spans="9:12" x14ac:dyDescent="0.25">
      <c r="I102">
        <v>65.842216067741333</v>
      </c>
      <c r="L102">
        <v>120.57847582630768</v>
      </c>
    </row>
    <row r="103" spans="9:12" x14ac:dyDescent="0.25">
      <c r="I103">
        <v>198.13917334784605</v>
      </c>
      <c r="L103">
        <v>141.52293114671551</v>
      </c>
    </row>
    <row r="104" spans="9:12" x14ac:dyDescent="0.25">
      <c r="I104">
        <v>-6.6339649856115557</v>
      </c>
      <c r="L104">
        <v>111.51140346449984</v>
      </c>
    </row>
    <row r="105" spans="9:12" x14ac:dyDescent="0.25">
      <c r="I105">
        <v>205.19926486481654</v>
      </c>
      <c r="L105">
        <v>97.820293094377234</v>
      </c>
    </row>
    <row r="106" spans="9:12" x14ac:dyDescent="0.25">
      <c r="I106">
        <v>-80.597279408563054</v>
      </c>
      <c r="L106">
        <v>107.18866453756431</v>
      </c>
    </row>
    <row r="107" spans="9:12" x14ac:dyDescent="0.25">
      <c r="I107">
        <v>271.05882512082849</v>
      </c>
      <c r="L107">
        <v>143.13664219090651</v>
      </c>
    </row>
    <row r="108" spans="9:12" x14ac:dyDescent="0.25">
      <c r="I108">
        <v>147.19478647520464</v>
      </c>
      <c r="L108">
        <v>168.02988317078791</v>
      </c>
    </row>
    <row r="109" spans="9:12" x14ac:dyDescent="0.25">
      <c r="I109">
        <v>-217.67148530216446</v>
      </c>
      <c r="L109">
        <v>155.56970969127133</v>
      </c>
    </row>
    <row r="110" spans="9:12" x14ac:dyDescent="0.25">
      <c r="I110">
        <v>-50.87102240762124</v>
      </c>
      <c r="L110">
        <v>167.70338045351298</v>
      </c>
    </row>
    <row r="111" spans="9:12" x14ac:dyDescent="0.25">
      <c r="I111">
        <v>79.198344289277088</v>
      </c>
      <c r="L111">
        <v>201.55884781474958</v>
      </c>
    </row>
    <row r="112" spans="9:12" x14ac:dyDescent="0.25">
      <c r="I112">
        <v>-20.676001748292492</v>
      </c>
      <c r="L112">
        <v>205.76517925348043</v>
      </c>
    </row>
    <row r="113" spans="9:12" x14ac:dyDescent="0.25">
      <c r="I113">
        <v>40.933671797688021</v>
      </c>
      <c r="L113">
        <v>153.29666546841571</v>
      </c>
    </row>
    <row r="114" spans="9:12" x14ac:dyDescent="0.25">
      <c r="I114">
        <v>-82.55445066949892</v>
      </c>
      <c r="L114">
        <v>141.52293114671551</v>
      </c>
    </row>
    <row r="115" spans="9:12" x14ac:dyDescent="0.25">
      <c r="I115">
        <v>-41.638377766974372</v>
      </c>
      <c r="L115">
        <v>137.58139241229122</v>
      </c>
    </row>
    <row r="116" spans="9:12" x14ac:dyDescent="0.25">
      <c r="I116">
        <v>-104.41695722265467</v>
      </c>
      <c r="L116">
        <v>145.21223729398343</v>
      </c>
    </row>
    <row r="117" spans="9:12" x14ac:dyDescent="0.25">
      <c r="I117">
        <v>172.17984118115101</v>
      </c>
      <c r="L117">
        <v>34.615368922571406</v>
      </c>
    </row>
    <row r="118" spans="9:12" x14ac:dyDescent="0.25">
      <c r="I118">
        <v>-29.705669557213355</v>
      </c>
      <c r="L118">
        <v>163.6231331780466</v>
      </c>
    </row>
    <row r="119" spans="9:12" x14ac:dyDescent="0.25">
      <c r="I119">
        <v>125.41876054943509</v>
      </c>
      <c r="L119">
        <v>128.17429738034502</v>
      </c>
    </row>
    <row r="120" spans="9:12" x14ac:dyDescent="0.25">
      <c r="I120">
        <v>-13.457734893538259</v>
      </c>
      <c r="L120">
        <v>25.813609156178245</v>
      </c>
    </row>
    <row r="121" spans="9:12" x14ac:dyDescent="0.25">
      <c r="I121">
        <v>-120.47106207573552</v>
      </c>
      <c r="L121">
        <v>228.33011011350425</v>
      </c>
    </row>
    <row r="122" spans="9:12" x14ac:dyDescent="0.25">
      <c r="I122">
        <v>344.46367867410299</v>
      </c>
      <c r="L122">
        <v>92.967508414740394</v>
      </c>
    </row>
    <row r="123" spans="9:12" x14ac:dyDescent="0.25">
      <c r="I123">
        <v>277.27505976426551</v>
      </c>
      <c r="L123">
        <v>25.027377730169121</v>
      </c>
    </row>
    <row r="124" spans="9:12" x14ac:dyDescent="0.25">
      <c r="I124">
        <v>157.63085547231367</v>
      </c>
      <c r="L124">
        <v>195.4015276353793</v>
      </c>
    </row>
    <row r="125" spans="9:12" x14ac:dyDescent="0.25">
      <c r="I125">
        <v>168.97243328291802</v>
      </c>
      <c r="L125">
        <v>186.99878616250254</v>
      </c>
    </row>
    <row r="126" spans="9:12" x14ac:dyDescent="0.25">
      <c r="I126">
        <v>22.516963765982155</v>
      </c>
      <c r="L126">
        <v>111.42031729057459</v>
      </c>
    </row>
    <row r="127" spans="9:12" x14ac:dyDescent="0.25">
      <c r="I127">
        <v>132.5789971589702</v>
      </c>
      <c r="L127">
        <v>159.53302002191765</v>
      </c>
    </row>
    <row r="128" spans="9:12" x14ac:dyDescent="0.25">
      <c r="I128">
        <v>11.648356493289498</v>
      </c>
      <c r="L128">
        <v>247.09328368766865</v>
      </c>
    </row>
    <row r="129" spans="9:12" x14ac:dyDescent="0.25">
      <c r="I129">
        <v>-3.6566749111337913</v>
      </c>
      <c r="L129">
        <v>84.675475323956675</v>
      </c>
    </row>
    <row r="130" spans="9:12" x14ac:dyDescent="0.25">
      <c r="I130">
        <v>58.732457271856219</v>
      </c>
      <c r="L130">
        <v>95.676198262062485</v>
      </c>
    </row>
    <row r="131" spans="9:12" x14ac:dyDescent="0.25">
      <c r="I131">
        <v>328.49904390569554</v>
      </c>
      <c r="L131">
        <v>-31.519651561984631</v>
      </c>
    </row>
    <row r="132" spans="9:12" x14ac:dyDescent="0.25">
      <c r="I132">
        <v>-137.56979691535469</v>
      </c>
      <c r="L132">
        <v>146.87777296350993</v>
      </c>
    </row>
    <row r="133" spans="9:12" x14ac:dyDescent="0.25">
      <c r="I133">
        <v>90.061471637220166</v>
      </c>
      <c r="L133">
        <v>140.12304716298235</v>
      </c>
    </row>
    <row r="134" spans="9:12" x14ac:dyDescent="0.25">
      <c r="I134">
        <v>-12.470514246538414</v>
      </c>
      <c r="L134">
        <v>277.19017276041541</v>
      </c>
    </row>
    <row r="135" spans="9:12" x14ac:dyDescent="0.25">
      <c r="I135">
        <v>104.44393182266231</v>
      </c>
      <c r="L135">
        <v>171.23172498803763</v>
      </c>
    </row>
    <row r="136" spans="9:12" x14ac:dyDescent="0.25">
      <c r="I136">
        <v>396.6767828743466</v>
      </c>
      <c r="L136">
        <v>193.76003985856499</v>
      </c>
    </row>
    <row r="137" spans="9:12" x14ac:dyDescent="0.25">
      <c r="I137">
        <v>83.330921387398348</v>
      </c>
      <c r="L137">
        <v>262.47153161335825</v>
      </c>
    </row>
    <row r="138" spans="9:12" x14ac:dyDescent="0.25">
      <c r="I138">
        <v>140.54090004777345</v>
      </c>
      <c r="L138">
        <v>168.78786434125254</v>
      </c>
    </row>
    <row r="139" spans="9:12" x14ac:dyDescent="0.25">
      <c r="I139">
        <v>124.54677910388978</v>
      </c>
      <c r="L139">
        <v>141.52293114671551</v>
      </c>
    </row>
    <row r="140" spans="9:12" x14ac:dyDescent="0.25">
      <c r="I140">
        <v>163.81973319314102</v>
      </c>
      <c r="L140">
        <v>179.80500611356763</v>
      </c>
    </row>
    <row r="141" spans="9:12" x14ac:dyDescent="0.25">
      <c r="I141">
        <v>103.2245958878018</v>
      </c>
      <c r="L141">
        <v>222.13493657812285</v>
      </c>
    </row>
    <row r="142" spans="9:12" x14ac:dyDescent="0.25">
      <c r="I142">
        <v>65.078853735825192</v>
      </c>
      <c r="L142">
        <v>198.35844326175209</v>
      </c>
    </row>
    <row r="143" spans="9:12" x14ac:dyDescent="0.25">
      <c r="I143">
        <v>199.49223452027627</v>
      </c>
      <c r="L143">
        <v>221.10258516290355</v>
      </c>
    </row>
    <row r="144" spans="9:12" x14ac:dyDescent="0.25">
      <c r="I144">
        <v>-150.53339759283972</v>
      </c>
      <c r="L144">
        <v>132.3479519605865</v>
      </c>
    </row>
    <row r="145" spans="9:12" x14ac:dyDescent="0.25">
      <c r="I145">
        <v>60.09495871652814</v>
      </c>
      <c r="L145">
        <v>111.7732540419554</v>
      </c>
    </row>
    <row r="146" spans="9:12" x14ac:dyDescent="0.25">
      <c r="I146">
        <v>250.1144087819298</v>
      </c>
      <c r="L146">
        <v>107.21074456891893</v>
      </c>
    </row>
    <row r="147" spans="9:12" x14ac:dyDescent="0.25">
      <c r="I147">
        <v>53.17018974841244</v>
      </c>
      <c r="L147">
        <v>70.025562108197505</v>
      </c>
    </row>
    <row r="148" spans="9:12" x14ac:dyDescent="0.25">
      <c r="I148">
        <v>-182.39742369473697</v>
      </c>
      <c r="L148">
        <v>129.1999620602553</v>
      </c>
    </row>
    <row r="149" spans="9:12" x14ac:dyDescent="0.25">
      <c r="I149">
        <v>43.478838948699149</v>
      </c>
      <c r="L149">
        <v>141.52293114671551</v>
      </c>
    </row>
    <row r="150" spans="9:12" x14ac:dyDescent="0.25">
      <c r="I150">
        <v>85.391053068935662</v>
      </c>
      <c r="L150">
        <v>170.16402967658308</v>
      </c>
    </row>
    <row r="151" spans="9:12" x14ac:dyDescent="0.25">
      <c r="I151">
        <v>12.255708365040618</v>
      </c>
      <c r="L151">
        <v>227.295646832069</v>
      </c>
    </row>
    <row r="152" spans="9:12" x14ac:dyDescent="0.25">
      <c r="I152">
        <v>-87.634871765560888</v>
      </c>
      <c r="L152">
        <v>245.28913322832943</v>
      </c>
    </row>
    <row r="153" spans="9:12" x14ac:dyDescent="0.25">
      <c r="I153">
        <v>79.802912567263093</v>
      </c>
      <c r="L153">
        <v>116.89692563056701</v>
      </c>
    </row>
    <row r="154" spans="9:12" x14ac:dyDescent="0.25">
      <c r="I154">
        <v>177.30674599749227</v>
      </c>
      <c r="L154">
        <v>141.52293114671551</v>
      </c>
    </row>
    <row r="155" spans="9:12" x14ac:dyDescent="0.25">
      <c r="I155">
        <v>211.03321046620317</v>
      </c>
      <c r="L155">
        <v>-27.689889662804717</v>
      </c>
    </row>
    <row r="156" spans="9:12" x14ac:dyDescent="0.25">
      <c r="I156">
        <v>21.605972842395886</v>
      </c>
      <c r="L156">
        <v>227.9568320119231</v>
      </c>
    </row>
    <row r="157" spans="9:12" x14ac:dyDescent="0.25">
      <c r="I157">
        <v>145.62876056525465</v>
      </c>
      <c r="L157">
        <v>197.4823603702805</v>
      </c>
    </row>
    <row r="158" spans="9:12" x14ac:dyDescent="0.25">
      <c r="I158">
        <v>266.94637554625342</v>
      </c>
      <c r="L158">
        <v>260.11288688346735</v>
      </c>
    </row>
    <row r="159" spans="9:12" x14ac:dyDescent="0.25">
      <c r="I159">
        <v>-186.65764119301753</v>
      </c>
      <c r="L159">
        <v>71.640507111262764</v>
      </c>
    </row>
    <row r="160" spans="9:12" x14ac:dyDescent="0.25">
      <c r="I160">
        <v>243.25373820099185</v>
      </c>
      <c r="L160">
        <v>141.52293114671551</v>
      </c>
    </row>
    <row r="161" spans="9:12" x14ac:dyDescent="0.25">
      <c r="I161">
        <v>136.41357545846586</v>
      </c>
      <c r="L161">
        <v>112.97799608380751</v>
      </c>
    </row>
    <row r="162" spans="9:12" x14ac:dyDescent="0.25">
      <c r="I162">
        <v>106.19797870267587</v>
      </c>
      <c r="L162">
        <v>141.52293114671551</v>
      </c>
    </row>
    <row r="163" spans="9:12" x14ac:dyDescent="0.25">
      <c r="I163">
        <v>61.870906589137576</v>
      </c>
      <c r="L163">
        <v>254.64481565598408</v>
      </c>
    </row>
    <row r="164" spans="9:12" x14ac:dyDescent="0.25">
      <c r="I164">
        <v>400.28135453412369</v>
      </c>
      <c r="L164">
        <v>99.532803637005998</v>
      </c>
    </row>
    <row r="165" spans="9:12" x14ac:dyDescent="0.25">
      <c r="I165">
        <v>19.170370502389233</v>
      </c>
      <c r="L165">
        <v>128.0705161123775</v>
      </c>
    </row>
    <row r="166" spans="9:12" x14ac:dyDescent="0.25">
      <c r="I166">
        <v>-222.71293910035899</v>
      </c>
      <c r="L166">
        <v>1.6009754338893458</v>
      </c>
    </row>
    <row r="167" spans="9:12" x14ac:dyDescent="0.25">
      <c r="I167">
        <v>138.75042012363997</v>
      </c>
      <c r="L167">
        <v>109.64145932856525</v>
      </c>
    </row>
    <row r="168" spans="9:12" x14ac:dyDescent="0.25">
      <c r="I168">
        <v>16.132939107877064</v>
      </c>
      <c r="L168">
        <v>138.35952789096757</v>
      </c>
    </row>
    <row r="169" spans="9:12" x14ac:dyDescent="0.25">
      <c r="I169">
        <v>237.88216991488162</v>
      </c>
      <c r="L169">
        <v>206.06159045330008</v>
      </c>
    </row>
    <row r="170" spans="9:12" x14ac:dyDescent="0.25">
      <c r="I170">
        <v>288.33949620217459</v>
      </c>
      <c r="L170">
        <v>44.630945275247882</v>
      </c>
    </row>
    <row r="171" spans="9:12" x14ac:dyDescent="0.25">
      <c r="I171">
        <v>-97.370705371408349</v>
      </c>
      <c r="L171">
        <v>30.869243208885848</v>
      </c>
    </row>
    <row r="172" spans="9:12" x14ac:dyDescent="0.25">
      <c r="I172">
        <v>15.550492314961616</v>
      </c>
      <c r="L172">
        <v>116.59261258908845</v>
      </c>
    </row>
    <row r="173" spans="9:12" x14ac:dyDescent="0.25">
      <c r="I173">
        <v>-35.519882224082039</v>
      </c>
      <c r="L173">
        <v>252.70960335009033</v>
      </c>
    </row>
    <row r="174" spans="9:12" x14ac:dyDescent="0.25">
      <c r="I174">
        <v>205.40419517881105</v>
      </c>
      <c r="L174">
        <v>139.80720846925533</v>
      </c>
    </row>
    <row r="175" spans="9:12" x14ac:dyDescent="0.25">
      <c r="I175">
        <v>107.08916729232988</v>
      </c>
      <c r="L175">
        <v>201.15572544536394</v>
      </c>
    </row>
    <row r="176" spans="9:12" x14ac:dyDescent="0.25">
      <c r="I176">
        <v>184.0975679957819</v>
      </c>
      <c r="L176">
        <v>152.94533715213197</v>
      </c>
    </row>
    <row r="177" spans="9:12" x14ac:dyDescent="0.25">
      <c r="I177">
        <v>168.39295016290589</v>
      </c>
      <c r="L177">
        <v>122.67556374923066</v>
      </c>
    </row>
    <row r="178" spans="9:12" x14ac:dyDescent="0.25">
      <c r="I178">
        <v>228.76642773667663</v>
      </c>
      <c r="L178">
        <v>193.16452297003548</v>
      </c>
    </row>
    <row r="179" spans="9:12" x14ac:dyDescent="0.25">
      <c r="I179">
        <v>81.026642026079003</v>
      </c>
      <c r="L179">
        <v>119.74283071810305</v>
      </c>
    </row>
    <row r="180" spans="9:12" x14ac:dyDescent="0.25">
      <c r="I180">
        <v>132.22021442913183</v>
      </c>
      <c r="L180">
        <v>170.65068074051305</v>
      </c>
    </row>
    <row r="181" spans="9:12" x14ac:dyDescent="0.25">
      <c r="I181">
        <v>57.952077602598024</v>
      </c>
      <c r="L181">
        <v>117.79510286344265</v>
      </c>
    </row>
    <row r="182" spans="9:12" x14ac:dyDescent="0.25">
      <c r="I182">
        <v>-71.564551754535387</v>
      </c>
      <c r="L182">
        <v>80.091155248270582</v>
      </c>
    </row>
    <row r="183" spans="9:12" x14ac:dyDescent="0.25">
      <c r="I183">
        <v>377.45197720085889</v>
      </c>
      <c r="L183">
        <v>108.40315195963649</v>
      </c>
    </row>
    <row r="184" spans="9:12" x14ac:dyDescent="0.25">
      <c r="I184">
        <v>117.02447645700829</v>
      </c>
      <c r="L184">
        <v>94.427463133982315</v>
      </c>
    </row>
    <row r="185" spans="9:12" x14ac:dyDescent="0.25">
      <c r="I185">
        <v>265.06979791884442</v>
      </c>
      <c r="L185">
        <v>141.52293114671551</v>
      </c>
    </row>
    <row r="186" spans="9:12" x14ac:dyDescent="0.25">
      <c r="I186">
        <v>35.824204382914331</v>
      </c>
      <c r="L186">
        <v>157.53985850293913</v>
      </c>
    </row>
    <row r="187" spans="9:12" x14ac:dyDescent="0.25">
      <c r="I187">
        <v>303.6607253359166</v>
      </c>
      <c r="L187">
        <v>109.45524449303628</v>
      </c>
    </row>
    <row r="188" spans="9:12" x14ac:dyDescent="0.25">
      <c r="I188">
        <v>-77.784688113330503</v>
      </c>
      <c r="L188">
        <v>111.37061113102914</v>
      </c>
    </row>
    <row r="189" spans="9:12" x14ac:dyDescent="0.25">
      <c r="I189">
        <v>96.698260808072519</v>
      </c>
      <c r="L189">
        <v>209.52640352008223</v>
      </c>
    </row>
    <row r="190" spans="9:12" x14ac:dyDescent="0.25">
      <c r="I190">
        <v>-60.264049805271725</v>
      </c>
      <c r="L190">
        <v>187.15969408431687</v>
      </c>
    </row>
    <row r="191" spans="9:12" x14ac:dyDescent="0.25">
      <c r="I191">
        <v>279.3305569337615</v>
      </c>
      <c r="L191">
        <v>141.52293114671551</v>
      </c>
    </row>
    <row r="192" spans="9:12" x14ac:dyDescent="0.25">
      <c r="I192">
        <v>76.0683060216586</v>
      </c>
      <c r="L192">
        <v>126.39214837160102</v>
      </c>
    </row>
    <row r="193" spans="9:12" x14ac:dyDescent="0.25">
      <c r="I193">
        <v>80.930354999565452</v>
      </c>
      <c r="L193">
        <v>254.88260470699788</v>
      </c>
    </row>
    <row r="194" spans="9:12" x14ac:dyDescent="0.25">
      <c r="I194">
        <v>49.165293064989896</v>
      </c>
      <c r="L194">
        <v>232.63976806231074</v>
      </c>
    </row>
    <row r="195" spans="9:12" x14ac:dyDescent="0.25">
      <c r="I195">
        <v>115.83176041673687</v>
      </c>
      <c r="L195">
        <v>141.52293114671551</v>
      </c>
    </row>
    <row r="196" spans="9:12" x14ac:dyDescent="0.25">
      <c r="I196">
        <v>-144.39953080259738</v>
      </c>
      <c r="L196">
        <v>110.49128628726737</v>
      </c>
    </row>
    <row r="197" spans="9:12" x14ac:dyDescent="0.25">
      <c r="I197">
        <v>77.400371669337574</v>
      </c>
      <c r="L197">
        <v>141.52293114671551</v>
      </c>
    </row>
    <row r="198" spans="9:12" x14ac:dyDescent="0.25">
      <c r="I198">
        <v>-32.623377309266516</v>
      </c>
      <c r="L198">
        <v>155.78105120087787</v>
      </c>
    </row>
    <row r="199" spans="9:12" x14ac:dyDescent="0.25">
      <c r="I199">
        <v>217.49604591361822</v>
      </c>
      <c r="L199">
        <v>183.3747320428879</v>
      </c>
    </row>
    <row r="200" spans="9:12" x14ac:dyDescent="0.25">
      <c r="I200">
        <v>-108.12488935907356</v>
      </c>
      <c r="L200">
        <v>48.24337590931691</v>
      </c>
    </row>
    <row r="201" spans="9:12" x14ac:dyDescent="0.25">
      <c r="I201">
        <v>116.19385482539246</v>
      </c>
      <c r="L201">
        <v>206.13373689405012</v>
      </c>
    </row>
    <row r="202" spans="9:12" x14ac:dyDescent="0.25">
      <c r="I202">
        <v>304.5259631368981</v>
      </c>
      <c r="L202">
        <v>141.52293114671551</v>
      </c>
    </row>
    <row r="203" spans="9:12" x14ac:dyDescent="0.25">
      <c r="I203">
        <v>212.90832580424626</v>
      </c>
      <c r="L203">
        <v>86.605706757516657</v>
      </c>
    </row>
    <row r="204" spans="9:12" x14ac:dyDescent="0.25">
      <c r="I204">
        <v>25.867149616358574</v>
      </c>
      <c r="L204">
        <v>144.62848306802204</v>
      </c>
    </row>
    <row r="205" spans="9:12" x14ac:dyDescent="0.25">
      <c r="I205">
        <v>4.0745923169995422</v>
      </c>
      <c r="L205">
        <v>141.52293114671551</v>
      </c>
    </row>
    <row r="206" spans="9:12" x14ac:dyDescent="0.25">
      <c r="I206">
        <v>206.95503469748792</v>
      </c>
      <c r="L206">
        <v>267.71488250885909</v>
      </c>
    </row>
    <row r="207" spans="9:12" x14ac:dyDescent="0.25">
      <c r="I207">
        <v>-160.55594002378575</v>
      </c>
      <c r="L207">
        <v>138.34783624891992</v>
      </c>
    </row>
    <row r="208" spans="9:12" x14ac:dyDescent="0.25">
      <c r="I208">
        <v>-40.39673513437674</v>
      </c>
      <c r="L208">
        <v>109.04853247707786</v>
      </c>
    </row>
    <row r="209" spans="9:12" x14ac:dyDescent="0.25">
      <c r="I209">
        <v>149.7078130998716</v>
      </c>
      <c r="L209">
        <v>115.56257411782377</v>
      </c>
    </row>
    <row r="210" spans="9:12" x14ac:dyDescent="0.25">
      <c r="I210">
        <v>267.92272565348844</v>
      </c>
      <c r="L210">
        <v>182.60795828350103</v>
      </c>
    </row>
    <row r="211" spans="9:12" x14ac:dyDescent="0.25">
      <c r="I211">
        <v>149.7492888208933</v>
      </c>
      <c r="L211">
        <v>239.50566164636189</v>
      </c>
    </row>
    <row r="212" spans="9:12" x14ac:dyDescent="0.25">
      <c r="I212">
        <v>242.28162750971637</v>
      </c>
      <c r="L212">
        <v>124.50435100535151</v>
      </c>
    </row>
    <row r="213" spans="9:12" x14ac:dyDescent="0.25">
      <c r="I213">
        <v>-40.019972894418174</v>
      </c>
      <c r="L213">
        <v>153.85803313113092</v>
      </c>
    </row>
    <row r="214" spans="9:12" x14ac:dyDescent="0.25">
      <c r="I214">
        <v>380.86899251648811</v>
      </c>
      <c r="L214">
        <v>165.9997485782651</v>
      </c>
    </row>
    <row r="215" spans="9:12" x14ac:dyDescent="0.25">
      <c r="I215">
        <v>-128.09383924228143</v>
      </c>
      <c r="L215">
        <v>-12.498328884757825</v>
      </c>
    </row>
    <row r="216" spans="9:12" x14ac:dyDescent="0.25">
      <c r="I216">
        <v>28.096692870145944</v>
      </c>
      <c r="L216">
        <v>158.02551860875468</v>
      </c>
    </row>
    <row r="217" spans="9:12" x14ac:dyDescent="0.25">
      <c r="I217">
        <v>-23.43529681378152</v>
      </c>
      <c r="L217">
        <v>154.26312338219589</v>
      </c>
    </row>
    <row r="218" spans="9:12" x14ac:dyDescent="0.25">
      <c r="I218">
        <v>46.876324180322399</v>
      </c>
      <c r="L218">
        <v>195.38678009010641</v>
      </c>
    </row>
    <row r="219" spans="9:12" x14ac:dyDescent="0.25">
      <c r="I219">
        <v>8.3344372342623956</v>
      </c>
      <c r="L219">
        <v>121.7107396770441</v>
      </c>
    </row>
    <row r="220" spans="9:12" x14ac:dyDescent="0.25">
      <c r="I220">
        <v>197.62851325182351</v>
      </c>
      <c r="L220">
        <v>141.52293114671551</v>
      </c>
    </row>
    <row r="221" spans="9:12" x14ac:dyDescent="0.25">
      <c r="I221">
        <v>44.720253782122199</v>
      </c>
      <c r="L221">
        <v>119.45509735538974</v>
      </c>
    </row>
    <row r="222" spans="9:12" x14ac:dyDescent="0.25">
      <c r="I222">
        <v>-79.469465291124834</v>
      </c>
      <c r="L222">
        <v>202.0530589942789</v>
      </c>
    </row>
    <row r="223" spans="9:12" x14ac:dyDescent="0.25">
      <c r="I223">
        <v>173.87494050069745</v>
      </c>
      <c r="L223">
        <v>76.442776016456662</v>
      </c>
    </row>
    <row r="224" spans="9:12" x14ac:dyDescent="0.25">
      <c r="I224">
        <v>74.655435317469255</v>
      </c>
      <c r="L224">
        <v>109.46275101667027</v>
      </c>
    </row>
    <row r="225" spans="9:12" x14ac:dyDescent="0.25">
      <c r="I225">
        <v>9.6678036713273059</v>
      </c>
      <c r="L225">
        <v>171.11385273614599</v>
      </c>
    </row>
    <row r="226" spans="9:12" x14ac:dyDescent="0.25">
      <c r="I226">
        <v>-10.821803301205364</v>
      </c>
      <c r="L226">
        <v>169.14577585000643</v>
      </c>
    </row>
    <row r="227" spans="9:12" x14ac:dyDescent="0.25">
      <c r="I227">
        <v>236.31903139831593</v>
      </c>
      <c r="L227">
        <v>160.30086111984679</v>
      </c>
    </row>
    <row r="228" spans="9:12" x14ac:dyDescent="0.25">
      <c r="I228">
        <v>-74.852450788738111</v>
      </c>
      <c r="L228">
        <v>54.430727918333957</v>
      </c>
    </row>
    <row r="229" spans="9:12" x14ac:dyDescent="0.25">
      <c r="I229">
        <v>388.01391374562741</v>
      </c>
      <c r="L229">
        <v>125.40794844793209</v>
      </c>
    </row>
    <row r="230" spans="9:12" x14ac:dyDescent="0.25">
      <c r="I230">
        <v>26.627477958713826</v>
      </c>
      <c r="L230">
        <v>143.00043736114407</v>
      </c>
    </row>
    <row r="231" spans="9:12" x14ac:dyDescent="0.25">
      <c r="I231">
        <v>283.93789956324736</v>
      </c>
      <c r="L231">
        <v>170.58141290084598</v>
      </c>
    </row>
    <row r="232" spans="9:12" x14ac:dyDescent="0.25">
      <c r="I232">
        <v>142.89971635832353</v>
      </c>
      <c r="L232">
        <v>200.29974736528328</v>
      </c>
    </row>
    <row r="233" spans="9:12" x14ac:dyDescent="0.25">
      <c r="I233">
        <v>7.5791127217796657</v>
      </c>
      <c r="L233">
        <v>122.53453836309984</v>
      </c>
    </row>
    <row r="234" spans="9:12" x14ac:dyDescent="0.25">
      <c r="I234">
        <v>5.5261468420652591</v>
      </c>
      <c r="L234">
        <v>265.40457025317198</v>
      </c>
    </row>
    <row r="235" spans="9:12" x14ac:dyDescent="0.25">
      <c r="I235">
        <v>161.18023976401537</v>
      </c>
      <c r="L235">
        <v>141.52293114671551</v>
      </c>
    </row>
    <row r="236" spans="9:12" x14ac:dyDescent="0.25">
      <c r="I236">
        <v>194.28075446069874</v>
      </c>
      <c r="L236">
        <v>228.66601258028584</v>
      </c>
    </row>
    <row r="237" spans="9:12" x14ac:dyDescent="0.25">
      <c r="I237">
        <v>188.1832005916749</v>
      </c>
      <c r="L237">
        <v>112.02896307004437</v>
      </c>
    </row>
    <row r="238" spans="9:12" x14ac:dyDescent="0.25">
      <c r="I238">
        <v>177.76221441245161</v>
      </c>
      <c r="L238">
        <v>122.50901014422004</v>
      </c>
    </row>
    <row r="239" spans="9:12" x14ac:dyDescent="0.25">
      <c r="I239">
        <v>-7.3109692350107025</v>
      </c>
      <c r="L239">
        <v>130.29453051999496</v>
      </c>
    </row>
    <row r="240" spans="9:12" x14ac:dyDescent="0.25">
      <c r="I240">
        <v>276.2240395177032</v>
      </c>
      <c r="L240">
        <v>141.52293114671551</v>
      </c>
    </row>
    <row r="241" spans="9:12" x14ac:dyDescent="0.25">
      <c r="I241">
        <v>-279.59314077161707</v>
      </c>
      <c r="L241">
        <v>202.95108081134896</v>
      </c>
    </row>
    <row r="242" spans="9:12" x14ac:dyDescent="0.25">
      <c r="I242">
        <v>157.03795456201624</v>
      </c>
      <c r="L242">
        <v>68.236149008360712</v>
      </c>
    </row>
    <row r="243" spans="9:12" x14ac:dyDescent="0.25">
      <c r="I243">
        <v>284.93448127042575</v>
      </c>
      <c r="L243">
        <v>141.52293114671551</v>
      </c>
    </row>
    <row r="244" spans="9:12" x14ac:dyDescent="0.25">
      <c r="I244">
        <v>70.691051121276132</v>
      </c>
      <c r="L244">
        <v>97.06852993493527</v>
      </c>
    </row>
    <row r="245" spans="9:12" x14ac:dyDescent="0.25">
      <c r="I245">
        <v>-75.168637592186315</v>
      </c>
      <c r="L245">
        <v>167.15156675407968</v>
      </c>
    </row>
    <row r="246" spans="9:12" x14ac:dyDescent="0.25">
      <c r="I246">
        <v>261.99350762842869</v>
      </c>
      <c r="L246">
        <v>116.67523725892636</v>
      </c>
    </row>
    <row r="247" spans="9:12" x14ac:dyDescent="0.25">
      <c r="I247">
        <v>-153.92146705482844</v>
      </c>
      <c r="L247">
        <v>118.85099462032105</v>
      </c>
    </row>
    <row r="248" spans="9:12" x14ac:dyDescent="0.25">
      <c r="I248">
        <v>40.361233351749433</v>
      </c>
      <c r="L248">
        <v>127.65700634555935</v>
      </c>
    </row>
    <row r="249" spans="9:12" x14ac:dyDescent="0.25">
      <c r="I249">
        <v>-34.486388507159177</v>
      </c>
      <c r="L249">
        <v>180.28577710426146</v>
      </c>
    </row>
    <row r="250" spans="9:12" x14ac:dyDescent="0.25">
      <c r="I250">
        <v>45.33383590176777</v>
      </c>
      <c r="L250">
        <v>48.897278460976395</v>
      </c>
    </row>
    <row r="251" spans="9:12" x14ac:dyDescent="0.25">
      <c r="I251">
        <v>53.889248911586719</v>
      </c>
      <c r="L251">
        <v>118.8561208461424</v>
      </c>
    </row>
    <row r="252" spans="9:12" x14ac:dyDescent="0.25">
      <c r="I252">
        <v>75.609778787456662</v>
      </c>
      <c r="L252">
        <v>19.99914597299562</v>
      </c>
    </row>
    <row r="253" spans="9:12" x14ac:dyDescent="0.25">
      <c r="I253">
        <v>24.914005499795849</v>
      </c>
      <c r="L253">
        <v>119.5728656721891</v>
      </c>
    </row>
    <row r="254" spans="9:12" x14ac:dyDescent="0.25">
      <c r="I254">
        <v>288.29827483387226</v>
      </c>
      <c r="L254">
        <v>107.78785973748182</v>
      </c>
    </row>
    <row r="255" spans="9:12" x14ac:dyDescent="0.25">
      <c r="I255">
        <v>91.01881769216493</v>
      </c>
      <c r="L255">
        <v>141.52293114671551</v>
      </c>
    </row>
    <row r="256" spans="9:12" x14ac:dyDescent="0.25">
      <c r="I256">
        <v>56.609323115114194</v>
      </c>
      <c r="L256">
        <v>158.94978592541997</v>
      </c>
    </row>
    <row r="257" spans="9:12" x14ac:dyDescent="0.25">
      <c r="I257">
        <v>191.85329676084075</v>
      </c>
      <c r="L257">
        <v>213.59603230169159</v>
      </c>
    </row>
    <row r="258" spans="9:12" x14ac:dyDescent="0.25">
      <c r="I258">
        <v>-180.29387407648619</v>
      </c>
      <c r="L258">
        <v>103.52301335370453</v>
      </c>
    </row>
    <row r="259" spans="9:12" x14ac:dyDescent="0.25">
      <c r="I259">
        <v>282.99523685141889</v>
      </c>
      <c r="L259">
        <v>154.02274846338628</v>
      </c>
    </row>
    <row r="260" spans="9:12" x14ac:dyDescent="0.25">
      <c r="I260">
        <v>-113.86604663231685</v>
      </c>
      <c r="L260">
        <v>257.27277660170944</v>
      </c>
    </row>
    <row r="261" spans="9:12" x14ac:dyDescent="0.25">
      <c r="I261">
        <v>266.46263954022834</v>
      </c>
      <c r="L261">
        <v>108.74903196130424</v>
      </c>
    </row>
    <row r="262" spans="9:12" x14ac:dyDescent="0.25">
      <c r="I262">
        <v>121.92116159245336</v>
      </c>
      <c r="L262">
        <v>44.69168480199022</v>
      </c>
    </row>
    <row r="263" spans="9:12" x14ac:dyDescent="0.25">
      <c r="I263">
        <v>79.236704111161998</v>
      </c>
      <c r="L263">
        <v>138.12731550848332</v>
      </c>
    </row>
    <row r="264" spans="9:12" x14ac:dyDescent="0.25">
      <c r="I264">
        <v>23.052180933131922</v>
      </c>
      <c r="L264">
        <v>133.48893676516752</v>
      </c>
    </row>
    <row r="265" spans="9:12" x14ac:dyDescent="0.25">
      <c r="I265">
        <v>223.28847592714715</v>
      </c>
      <c r="L265">
        <v>182.24692866618261</v>
      </c>
    </row>
    <row r="266" spans="9:12" x14ac:dyDescent="0.25">
      <c r="I266">
        <v>41.845543267000039</v>
      </c>
      <c r="L266">
        <v>222.69578934217509</v>
      </c>
    </row>
    <row r="267" spans="9:12" x14ac:dyDescent="0.25">
      <c r="I267">
        <v>401.26269607109543</v>
      </c>
      <c r="L267">
        <v>174.49252973098874</v>
      </c>
    </row>
    <row r="268" spans="9:12" x14ac:dyDescent="0.25">
      <c r="I268">
        <v>282.22420283401016</v>
      </c>
      <c r="L268">
        <v>173.30680491811313</v>
      </c>
    </row>
    <row r="269" spans="9:12" x14ac:dyDescent="0.25">
      <c r="I269">
        <v>-1.1232562923120213</v>
      </c>
      <c r="L269">
        <v>141.52293114671551</v>
      </c>
    </row>
    <row r="270" spans="9:12" x14ac:dyDescent="0.25">
      <c r="I270">
        <v>198.76945553265614</v>
      </c>
      <c r="L270">
        <v>113.58604848232994</v>
      </c>
    </row>
    <row r="271" spans="9:12" x14ac:dyDescent="0.25">
      <c r="I271">
        <v>-91.116543038111786</v>
      </c>
      <c r="L271">
        <v>134.0484106771957</v>
      </c>
    </row>
    <row r="272" spans="9:12" x14ac:dyDescent="0.25">
      <c r="I272">
        <v>239.67279781549178</v>
      </c>
      <c r="L272">
        <v>166.86156961206683</v>
      </c>
    </row>
    <row r="273" spans="9:12" x14ac:dyDescent="0.25">
      <c r="I273">
        <v>250.429012234835</v>
      </c>
      <c r="L273">
        <v>120.85353287815587</v>
      </c>
    </row>
    <row r="274" spans="9:12" x14ac:dyDescent="0.25">
      <c r="I274">
        <v>73.983126569127307</v>
      </c>
      <c r="L274">
        <v>141.52293114671551</v>
      </c>
    </row>
    <row r="275" spans="9:12" x14ac:dyDescent="0.25">
      <c r="I275">
        <v>409.88723954230727</v>
      </c>
      <c r="L275">
        <v>137.63536727907143</v>
      </c>
    </row>
    <row r="276" spans="9:12" x14ac:dyDescent="0.25">
      <c r="I276">
        <v>-46.980709524714825</v>
      </c>
      <c r="L276">
        <v>171.39592957194748</v>
      </c>
    </row>
    <row r="277" spans="9:12" x14ac:dyDescent="0.25">
      <c r="I277">
        <v>143.08323011562038</v>
      </c>
      <c r="L277">
        <v>183.60725243237471</v>
      </c>
    </row>
    <row r="278" spans="9:12" x14ac:dyDescent="0.25">
      <c r="I278">
        <v>-59.07462608050173</v>
      </c>
      <c r="L278">
        <v>115.51912963546295</v>
      </c>
    </row>
    <row r="279" spans="9:12" x14ac:dyDescent="0.25">
      <c r="I279">
        <v>-5.0425318894239126</v>
      </c>
      <c r="L279">
        <v>158.11828402209846</v>
      </c>
    </row>
    <row r="280" spans="9:12" x14ac:dyDescent="0.25">
      <c r="I280">
        <v>262.33081600912055</v>
      </c>
      <c r="L280">
        <v>164.88645561296778</v>
      </c>
    </row>
    <row r="281" spans="9:12" x14ac:dyDescent="0.25">
      <c r="I281">
        <v>137.03183275987885</v>
      </c>
      <c r="L281">
        <v>172.36780182445233</v>
      </c>
    </row>
    <row r="282" spans="9:12" x14ac:dyDescent="0.25">
      <c r="I282">
        <v>211.38448318048177</v>
      </c>
      <c r="L282">
        <v>141.52293114671551</v>
      </c>
    </row>
    <row r="283" spans="9:12" x14ac:dyDescent="0.25">
      <c r="I283">
        <v>298.99006934728436</v>
      </c>
      <c r="L283">
        <v>124.52211904060835</v>
      </c>
    </row>
    <row r="284" spans="9:12" x14ac:dyDescent="0.25">
      <c r="I284">
        <v>26.527332161910863</v>
      </c>
      <c r="L284">
        <v>172.02033033611292</v>
      </c>
    </row>
    <row r="285" spans="9:12" x14ac:dyDescent="0.25">
      <c r="I285">
        <v>183.76467665402242</v>
      </c>
      <c r="L285">
        <v>175.72356078742041</v>
      </c>
    </row>
    <row r="286" spans="9:12" x14ac:dyDescent="0.25">
      <c r="I286">
        <v>319.24165912001536</v>
      </c>
      <c r="L286">
        <v>141.52293114671551</v>
      </c>
    </row>
    <row r="287" spans="9:12" x14ac:dyDescent="0.25">
      <c r="I287">
        <v>-21.744220913320078</v>
      </c>
      <c r="L287">
        <v>171.01391648809806</v>
      </c>
    </row>
    <row r="288" spans="9:12" x14ac:dyDescent="0.25">
      <c r="I288">
        <v>285.08503218738724</v>
      </c>
      <c r="L288">
        <v>204.45560012011219</v>
      </c>
    </row>
    <row r="289" spans="9:12" x14ac:dyDescent="0.25">
      <c r="I289">
        <v>110.94560311215901</v>
      </c>
      <c r="L289">
        <v>127.59332214332153</v>
      </c>
    </row>
    <row r="290" spans="9:12" x14ac:dyDescent="0.25">
      <c r="I290">
        <v>-27.602069171075755</v>
      </c>
      <c r="L290">
        <v>194.93683724539801</v>
      </c>
    </row>
    <row r="291" spans="9:12" x14ac:dyDescent="0.25">
      <c r="I291">
        <v>-0.25917428956654476</v>
      </c>
      <c r="L291">
        <v>130.06125146974716</v>
      </c>
    </row>
    <row r="292" spans="9:12" x14ac:dyDescent="0.25">
      <c r="I292">
        <v>96.49508526595082</v>
      </c>
      <c r="L292">
        <v>264.27274752189646</v>
      </c>
    </row>
    <row r="293" spans="9:12" x14ac:dyDescent="0.25">
      <c r="I293">
        <v>28.673952719511703</v>
      </c>
      <c r="L293">
        <v>107.33128454831484</v>
      </c>
    </row>
    <row r="294" spans="9:12" x14ac:dyDescent="0.25">
      <c r="I294">
        <v>-180.70120482594052</v>
      </c>
      <c r="L294">
        <v>171.05179654809524</v>
      </c>
    </row>
    <row r="295" spans="9:12" x14ac:dyDescent="0.25">
      <c r="I295">
        <v>59.155476323475568</v>
      </c>
      <c r="L295">
        <v>108.09053639838379</v>
      </c>
    </row>
    <row r="296" spans="9:12" x14ac:dyDescent="0.25">
      <c r="I296">
        <v>-12.092720442277937</v>
      </c>
      <c r="L296">
        <v>10.804525043056401</v>
      </c>
    </row>
    <row r="297" spans="9:12" x14ac:dyDescent="0.25">
      <c r="I297">
        <v>265.41288358350994</v>
      </c>
      <c r="L297">
        <v>114.77263727882917</v>
      </c>
    </row>
    <row r="298" spans="9:12" x14ac:dyDescent="0.25">
      <c r="I298">
        <v>31.311231230220983</v>
      </c>
      <c r="L298">
        <v>141.52293114671551</v>
      </c>
    </row>
    <row r="299" spans="9:12" x14ac:dyDescent="0.25">
      <c r="I299">
        <v>69.510449362183863</v>
      </c>
      <c r="L299">
        <v>177.48455478611027</v>
      </c>
    </row>
    <row r="300" spans="9:12" x14ac:dyDescent="0.25">
      <c r="I300">
        <v>21.11013619872665</v>
      </c>
      <c r="L300">
        <v>148.58495720608482</v>
      </c>
    </row>
    <row r="301" spans="9:12" x14ac:dyDescent="0.25">
      <c r="I301">
        <v>412.49794050640639</v>
      </c>
      <c r="L301">
        <v>60.297176288435878</v>
      </c>
    </row>
    <row r="302" spans="9:12" x14ac:dyDescent="0.25">
      <c r="I302">
        <v>167.56502542486714</v>
      </c>
      <c r="L302">
        <v>-15.343395272408657</v>
      </c>
    </row>
    <row r="303" spans="9:12" x14ac:dyDescent="0.25">
      <c r="I303">
        <v>80.332757488988932</v>
      </c>
      <c r="L303">
        <v>141.52293114671551</v>
      </c>
    </row>
    <row r="304" spans="9:12" x14ac:dyDescent="0.25">
      <c r="I304">
        <v>43.558140994795167</v>
      </c>
      <c r="L304">
        <v>136.73249227347156</v>
      </c>
    </row>
    <row r="305" spans="9:12" x14ac:dyDescent="0.25">
      <c r="I305">
        <v>215.60230861836862</v>
      </c>
      <c r="L305">
        <v>110.68807048118316</v>
      </c>
    </row>
    <row r="306" spans="9:12" x14ac:dyDescent="0.25">
      <c r="I306">
        <v>143.41307462273312</v>
      </c>
      <c r="L306">
        <v>154.49894297328956</v>
      </c>
    </row>
    <row r="307" spans="9:12" x14ac:dyDescent="0.25">
      <c r="I307">
        <v>-37.882630293679085</v>
      </c>
      <c r="L307">
        <v>86.520247231649762</v>
      </c>
    </row>
    <row r="308" spans="9:12" x14ac:dyDescent="0.25">
      <c r="I308">
        <v>248.18421940510507</v>
      </c>
      <c r="L308">
        <v>120.29639063511115</v>
      </c>
    </row>
    <row r="309" spans="9:12" x14ac:dyDescent="0.25">
      <c r="I309">
        <v>176.59061787507585</v>
      </c>
      <c r="L309">
        <v>237.76141137201216</v>
      </c>
    </row>
    <row r="310" spans="9:12" x14ac:dyDescent="0.25">
      <c r="I310">
        <v>232.85213816802207</v>
      </c>
      <c r="L310">
        <v>149.2787905838909</v>
      </c>
    </row>
    <row r="311" spans="9:12" x14ac:dyDescent="0.25">
      <c r="I311">
        <v>-25.429865236176397</v>
      </c>
      <c r="L311">
        <v>247.58161003228531</v>
      </c>
    </row>
    <row r="312" spans="9:12" x14ac:dyDescent="0.25">
      <c r="I312">
        <v>251.80631359417362</v>
      </c>
      <c r="L312">
        <v>109.35368192530376</v>
      </c>
    </row>
    <row r="313" spans="9:12" x14ac:dyDescent="0.25">
      <c r="I313">
        <v>-124.46010538576547</v>
      </c>
      <c r="L313">
        <v>77.646880284816007</v>
      </c>
    </row>
    <row r="314" spans="9:12" x14ac:dyDescent="0.25">
      <c r="I314">
        <v>29.53220753909045</v>
      </c>
      <c r="L314">
        <v>124.87462041180697</v>
      </c>
    </row>
    <row r="315" spans="9:12" x14ac:dyDescent="0.25">
      <c r="I315">
        <v>419.12940844396394</v>
      </c>
      <c r="L315">
        <v>165.4896909330439</v>
      </c>
    </row>
    <row r="316" spans="9:12" x14ac:dyDescent="0.25">
      <c r="I316">
        <v>328.28291076642699</v>
      </c>
      <c r="L316">
        <v>124.83083890265527</v>
      </c>
    </row>
    <row r="317" spans="9:12" x14ac:dyDescent="0.25">
      <c r="I317">
        <v>145.59814203317023</v>
      </c>
      <c r="L317">
        <v>191.64635179320237</v>
      </c>
    </row>
    <row r="318" spans="9:12" x14ac:dyDescent="0.25">
      <c r="I318">
        <v>2.1318529933414538</v>
      </c>
      <c r="L318">
        <v>163.36987374391447</v>
      </c>
    </row>
    <row r="319" spans="9:12" x14ac:dyDescent="0.25">
      <c r="I319">
        <v>86.180722453888393</v>
      </c>
      <c r="L319">
        <v>158.53565479609563</v>
      </c>
    </row>
    <row r="320" spans="9:12" x14ac:dyDescent="0.25">
      <c r="I320">
        <v>53.447969624009716</v>
      </c>
      <c r="L320">
        <v>3.9633240296245731</v>
      </c>
    </row>
    <row r="321" spans="9:12" x14ac:dyDescent="0.25">
      <c r="I321">
        <v>281.49365209677762</v>
      </c>
      <c r="L321">
        <v>206.21730126906129</v>
      </c>
    </row>
    <row r="322" spans="9:12" x14ac:dyDescent="0.25">
      <c r="I322">
        <v>203.20921340768382</v>
      </c>
      <c r="L322">
        <v>139.74605439798046</v>
      </c>
    </row>
    <row r="323" spans="9:12" x14ac:dyDescent="0.25">
      <c r="I323">
        <v>-60.594378455295441</v>
      </c>
      <c r="L323">
        <v>136.52647820849421</v>
      </c>
    </row>
    <row r="324" spans="9:12" x14ac:dyDescent="0.25">
      <c r="I324">
        <v>194.24955805509353</v>
      </c>
      <c r="L324">
        <v>134.67445863893056</v>
      </c>
    </row>
    <row r="325" spans="9:12" x14ac:dyDescent="0.25">
      <c r="I325">
        <v>-161.87725291526567</v>
      </c>
      <c r="L325">
        <v>107.18930461898179</v>
      </c>
    </row>
    <row r="326" spans="9:12" x14ac:dyDescent="0.25">
      <c r="I326">
        <v>220.45176945303592</v>
      </c>
      <c r="L326">
        <v>127.52806908164592</v>
      </c>
    </row>
    <row r="327" spans="9:12" x14ac:dyDescent="0.25">
      <c r="I327">
        <v>123.44941268173932</v>
      </c>
      <c r="L327">
        <v>107.59303221293527</v>
      </c>
    </row>
    <row r="328" spans="9:12" x14ac:dyDescent="0.25">
      <c r="I328">
        <v>-97.085844029113787</v>
      </c>
      <c r="L328">
        <v>168.74185012428728</v>
      </c>
    </row>
    <row r="329" spans="9:12" x14ac:dyDescent="0.25">
      <c r="I329">
        <v>184.89654534337956</v>
      </c>
      <c r="L329">
        <v>135.22413469112655</v>
      </c>
    </row>
    <row r="330" spans="9:12" x14ac:dyDescent="0.25">
      <c r="I330">
        <v>281.95570343631675</v>
      </c>
      <c r="L330">
        <v>150.47266776715065</v>
      </c>
    </row>
    <row r="331" spans="9:12" x14ac:dyDescent="0.25">
      <c r="I331">
        <v>-187.9687043965007</v>
      </c>
      <c r="L331">
        <v>145.36276813021414</v>
      </c>
    </row>
    <row r="332" spans="9:12" x14ac:dyDescent="0.25">
      <c r="I332">
        <v>-103.49365583197005</v>
      </c>
      <c r="L332">
        <v>277.22346777407176</v>
      </c>
    </row>
    <row r="333" spans="9:12" x14ac:dyDescent="0.25">
      <c r="I333">
        <v>-126.11165755286834</v>
      </c>
      <c r="L333">
        <v>153.05885458461188</v>
      </c>
    </row>
    <row r="334" spans="9:12" x14ac:dyDescent="0.25">
      <c r="I334">
        <v>122.18673775110165</v>
      </c>
      <c r="L334">
        <v>166.23931942907444</v>
      </c>
    </row>
    <row r="335" spans="9:12" x14ac:dyDescent="0.25">
      <c r="I335">
        <v>230.99128959286168</v>
      </c>
      <c r="L335">
        <v>236.94669469494818</v>
      </c>
    </row>
    <row r="336" spans="9:12" x14ac:dyDescent="0.25">
      <c r="I336">
        <v>-200.11963978090489</v>
      </c>
      <c r="L336">
        <v>121.95174618774365</v>
      </c>
    </row>
    <row r="337" spans="9:12" x14ac:dyDescent="0.25">
      <c r="I337">
        <v>-124.11698100239869</v>
      </c>
      <c r="L337">
        <v>217.692821668232</v>
      </c>
    </row>
    <row r="338" spans="9:12" x14ac:dyDescent="0.25">
      <c r="I338">
        <v>90.837593751099575</v>
      </c>
      <c r="L338">
        <v>82.079117309064884</v>
      </c>
    </row>
    <row r="339" spans="9:12" x14ac:dyDescent="0.25">
      <c r="I339">
        <v>276.49697520951577</v>
      </c>
      <c r="L339">
        <v>118.6359097410749</v>
      </c>
    </row>
    <row r="340" spans="9:12" x14ac:dyDescent="0.25">
      <c r="I340">
        <v>320.42355043935845</v>
      </c>
      <c r="L340">
        <v>197.20739830484467</v>
      </c>
    </row>
    <row r="341" spans="9:12" x14ac:dyDescent="0.25">
      <c r="I341">
        <v>126.27761101961141</v>
      </c>
      <c r="L341">
        <v>142.05332987541999</v>
      </c>
    </row>
    <row r="342" spans="9:12" x14ac:dyDescent="0.25">
      <c r="I342">
        <v>-207.39297018997513</v>
      </c>
      <c r="L342">
        <v>137.99093956174113</v>
      </c>
    </row>
    <row r="343" spans="9:12" x14ac:dyDescent="0.25">
      <c r="I343">
        <v>268.59490407131079</v>
      </c>
      <c r="L343">
        <v>190.01702509317533</v>
      </c>
    </row>
    <row r="344" spans="9:12" x14ac:dyDescent="0.25">
      <c r="I344">
        <v>36.843335824491191</v>
      </c>
      <c r="L344">
        <v>153.47978546673738</v>
      </c>
    </row>
    <row r="345" spans="9:12" x14ac:dyDescent="0.25">
      <c r="I345">
        <v>190.66402159902941</v>
      </c>
      <c r="L345">
        <v>274.56950843411619</v>
      </c>
    </row>
    <row r="346" spans="9:12" x14ac:dyDescent="0.25">
      <c r="I346">
        <v>49.702814980548055</v>
      </c>
      <c r="L346">
        <v>144.02246594571534</v>
      </c>
    </row>
    <row r="347" spans="9:12" x14ac:dyDescent="0.25">
      <c r="I347">
        <v>244.4804502076795</v>
      </c>
      <c r="L347">
        <v>113.83735791622178</v>
      </c>
    </row>
    <row r="348" spans="9:12" x14ac:dyDescent="0.25">
      <c r="I348">
        <v>115.97107765921498</v>
      </c>
      <c r="L348">
        <v>141.52293114671551</v>
      </c>
    </row>
    <row r="349" spans="9:12" x14ac:dyDescent="0.25">
      <c r="I349">
        <v>-23.339183542544561</v>
      </c>
      <c r="L349">
        <v>175.44499281731692</v>
      </c>
    </row>
    <row r="350" spans="9:12" x14ac:dyDescent="0.25">
      <c r="I350">
        <v>123.93108018209978</v>
      </c>
      <c r="L350">
        <v>166.51612630659702</v>
      </c>
    </row>
    <row r="351" spans="9:12" x14ac:dyDescent="0.25">
      <c r="I351">
        <v>50.568604299576918</v>
      </c>
      <c r="L351">
        <v>167.81624943973804</v>
      </c>
    </row>
    <row r="352" spans="9:12" x14ac:dyDescent="0.25">
      <c r="I352">
        <v>-122.64615661496123</v>
      </c>
      <c r="L352">
        <v>76.228322352962152</v>
      </c>
    </row>
    <row r="353" spans="9:12" x14ac:dyDescent="0.25">
      <c r="I353">
        <v>-30.777958594566826</v>
      </c>
      <c r="L353">
        <v>148.74745757318379</v>
      </c>
    </row>
    <row r="354" spans="9:12" x14ac:dyDescent="0.25">
      <c r="I354">
        <v>171.64626872333611</v>
      </c>
      <c r="L354">
        <v>50.935031160002666</v>
      </c>
    </row>
    <row r="355" spans="9:12" x14ac:dyDescent="0.25">
      <c r="I355">
        <v>223.37670043913522</v>
      </c>
      <c r="L355">
        <v>237.01027309095889</v>
      </c>
    </row>
    <row r="356" spans="9:12" x14ac:dyDescent="0.25">
      <c r="I356">
        <v>-20.443199415598997</v>
      </c>
      <c r="L356">
        <v>110.1560185500328</v>
      </c>
    </row>
    <row r="357" spans="9:12" x14ac:dyDescent="0.25">
      <c r="I357">
        <v>250.91194208304432</v>
      </c>
      <c r="L357">
        <v>119.66533164384907</v>
      </c>
    </row>
    <row r="358" spans="9:12" x14ac:dyDescent="0.25">
      <c r="I358">
        <v>152.66544255554118</v>
      </c>
      <c r="L358">
        <v>119.93989367143121</v>
      </c>
    </row>
    <row r="359" spans="9:12" x14ac:dyDescent="0.25">
      <c r="I359">
        <v>131.09390749743693</v>
      </c>
      <c r="L359">
        <v>198.77858545846925</v>
      </c>
    </row>
    <row r="360" spans="9:12" x14ac:dyDescent="0.25">
      <c r="I360">
        <v>37.685495647007542</v>
      </c>
      <c r="L360">
        <v>220.97591792012395</v>
      </c>
    </row>
    <row r="361" spans="9:12" x14ac:dyDescent="0.25">
      <c r="I361">
        <v>257.13674608330166</v>
      </c>
      <c r="L361">
        <v>217.00953368267437</v>
      </c>
    </row>
    <row r="362" spans="9:12" x14ac:dyDescent="0.25">
      <c r="I362">
        <v>208.36140021152801</v>
      </c>
      <c r="L362">
        <v>202.48947325177426</v>
      </c>
    </row>
    <row r="363" spans="9:12" x14ac:dyDescent="0.25">
      <c r="I363">
        <v>324.49167248877302</v>
      </c>
      <c r="L363">
        <v>28.832222034257541</v>
      </c>
    </row>
    <row r="364" spans="9:12" x14ac:dyDescent="0.25">
      <c r="I364">
        <v>-101.38714859156607</v>
      </c>
      <c r="L364">
        <v>141.52293114671551</v>
      </c>
    </row>
    <row r="365" spans="9:12" x14ac:dyDescent="0.25">
      <c r="I365">
        <v>17.872068863546247</v>
      </c>
      <c r="L365">
        <v>138.47879187233605</v>
      </c>
    </row>
    <row r="366" spans="9:12" x14ac:dyDescent="0.25">
      <c r="I366">
        <v>155.83511049965114</v>
      </c>
      <c r="L366">
        <v>154.70161291509487</v>
      </c>
    </row>
    <row r="367" spans="9:12" x14ac:dyDescent="0.25">
      <c r="I367">
        <v>300.53867272201796</v>
      </c>
      <c r="L367">
        <v>144.99304763040823</v>
      </c>
    </row>
    <row r="368" spans="9:12" x14ac:dyDescent="0.25">
      <c r="I368">
        <v>50.671868189994484</v>
      </c>
      <c r="L368">
        <v>141.52293114671551</v>
      </c>
    </row>
    <row r="369" spans="9:12" x14ac:dyDescent="0.25">
      <c r="I369">
        <v>212.34923953666475</v>
      </c>
      <c r="L369">
        <v>225.64557402431842</v>
      </c>
    </row>
    <row r="370" spans="9:12" x14ac:dyDescent="0.25">
      <c r="I370">
        <v>57.10783127152024</v>
      </c>
      <c r="L370">
        <v>153.98602841391607</v>
      </c>
    </row>
    <row r="371" spans="9:12" x14ac:dyDescent="0.25">
      <c r="I371">
        <v>161.74654827418135</v>
      </c>
      <c r="L371">
        <v>112.88420384613994</v>
      </c>
    </row>
    <row r="372" spans="9:12" x14ac:dyDescent="0.25">
      <c r="I372">
        <v>185.06356580752572</v>
      </c>
      <c r="L372">
        <v>134.33782842411006</v>
      </c>
    </row>
    <row r="373" spans="9:12" x14ac:dyDescent="0.25">
      <c r="I373">
        <v>104.81357740655153</v>
      </c>
      <c r="L373">
        <v>154.13023103275765</v>
      </c>
    </row>
    <row r="374" spans="9:12" x14ac:dyDescent="0.25">
      <c r="I374">
        <v>236.24858748769384</v>
      </c>
      <c r="L374">
        <v>111.57954322206444</v>
      </c>
    </row>
    <row r="375" spans="9:12" x14ac:dyDescent="0.25">
      <c r="I375">
        <v>176.48760544987113</v>
      </c>
      <c r="L375">
        <v>190.00309822470615</v>
      </c>
    </row>
    <row r="376" spans="9:12" x14ac:dyDescent="0.25">
      <c r="I376">
        <v>84.53217041993662</v>
      </c>
      <c r="L376">
        <v>150.66610912944009</v>
      </c>
    </row>
    <row r="377" spans="9:12" x14ac:dyDescent="0.25">
      <c r="I377">
        <v>200.43761398693141</v>
      </c>
      <c r="L377">
        <v>172.35550245692764</v>
      </c>
    </row>
    <row r="378" spans="9:12" x14ac:dyDescent="0.25">
      <c r="I378">
        <v>242.69952303672403</v>
      </c>
      <c r="L378">
        <v>207.17333737929198</v>
      </c>
    </row>
    <row r="379" spans="9:12" x14ac:dyDescent="0.25">
      <c r="I379">
        <v>205.75511978359441</v>
      </c>
      <c r="L379">
        <v>134.56622328709676</v>
      </c>
    </row>
    <row r="380" spans="9:12" x14ac:dyDescent="0.25">
      <c r="I380">
        <v>11.439855458709303</v>
      </c>
      <c r="L380">
        <v>141.52293114671551</v>
      </c>
    </row>
    <row r="381" spans="9:12" x14ac:dyDescent="0.25">
      <c r="I381">
        <v>20.638033417651286</v>
      </c>
      <c r="L381">
        <v>141.52293114671551</v>
      </c>
    </row>
    <row r="382" spans="9:12" x14ac:dyDescent="0.25">
      <c r="I382">
        <v>55.372131516302716</v>
      </c>
      <c r="L382">
        <v>118.40306249336896</v>
      </c>
    </row>
    <row r="383" spans="9:12" x14ac:dyDescent="0.25">
      <c r="I383">
        <v>131.43599320089515</v>
      </c>
      <c r="L383">
        <v>2.6456194165425018</v>
      </c>
    </row>
    <row r="384" spans="9:12" x14ac:dyDescent="0.25">
      <c r="I384">
        <v>-44.735026867587294</v>
      </c>
      <c r="L384">
        <v>106.74239399509753</v>
      </c>
    </row>
    <row r="385" spans="9:12" x14ac:dyDescent="0.25">
      <c r="I385">
        <v>173.70010765965367</v>
      </c>
      <c r="L385">
        <v>170.00413165175183</v>
      </c>
    </row>
    <row r="386" spans="9:12" x14ac:dyDescent="0.25">
      <c r="I386">
        <v>56.32145343047489</v>
      </c>
      <c r="L386">
        <v>169.6525715956227</v>
      </c>
    </row>
    <row r="387" spans="9:12" x14ac:dyDescent="0.25">
      <c r="I387">
        <v>125.83610399953659</v>
      </c>
      <c r="L387">
        <v>22.817284479937371</v>
      </c>
    </row>
    <row r="388" spans="9:12" x14ac:dyDescent="0.25">
      <c r="I388">
        <v>-3.7898537834962553</v>
      </c>
      <c r="L388">
        <v>138.33998231193971</v>
      </c>
    </row>
    <row r="389" spans="9:12" x14ac:dyDescent="0.25">
      <c r="I389">
        <v>12.650430709297552</v>
      </c>
      <c r="L389">
        <v>140.14526518591765</v>
      </c>
    </row>
    <row r="390" spans="9:12" x14ac:dyDescent="0.25">
      <c r="I390">
        <v>232.65305023666042</v>
      </c>
      <c r="L390">
        <v>142.59463632764221</v>
      </c>
    </row>
    <row r="391" spans="9:12" x14ac:dyDescent="0.25">
      <c r="I391">
        <v>415.86341697771491</v>
      </c>
      <c r="L391">
        <v>129.74529859939929</v>
      </c>
    </row>
    <row r="392" spans="9:12" x14ac:dyDescent="0.25">
      <c r="I392">
        <v>154.74167383617169</v>
      </c>
      <c r="L392">
        <v>134.37427366410759</v>
      </c>
    </row>
    <row r="393" spans="9:12" x14ac:dyDescent="0.25">
      <c r="I393">
        <v>89.679406483274761</v>
      </c>
      <c r="L393">
        <v>219.52462979104075</v>
      </c>
    </row>
    <row r="394" spans="9:12" x14ac:dyDescent="0.25">
      <c r="I394">
        <v>38.434280742620558</v>
      </c>
      <c r="L394">
        <v>178.23873987877681</v>
      </c>
    </row>
    <row r="395" spans="9:12" x14ac:dyDescent="0.25">
      <c r="I395">
        <v>-63.781715093416551</v>
      </c>
      <c r="L395">
        <v>163.19833810114125</v>
      </c>
    </row>
    <row r="396" spans="9:12" x14ac:dyDescent="0.25">
      <c r="I396">
        <v>34.232866651526365</v>
      </c>
      <c r="L396">
        <v>118.32197452550474</v>
      </c>
    </row>
    <row r="397" spans="9:12" x14ac:dyDescent="0.25">
      <c r="I397">
        <v>-57.724873848555035</v>
      </c>
      <c r="L397">
        <v>113.43851892620961</v>
      </c>
    </row>
    <row r="398" spans="9:12" x14ac:dyDescent="0.25">
      <c r="I398">
        <v>-82.458497678519052</v>
      </c>
      <c r="L398">
        <v>106.75927600598317</v>
      </c>
    </row>
    <row r="399" spans="9:12" x14ac:dyDescent="0.25">
      <c r="I399">
        <v>153.98035937105578</v>
      </c>
      <c r="L399">
        <v>261.55225215472262</v>
      </c>
    </row>
    <row r="400" spans="9:12" x14ac:dyDescent="0.25">
      <c r="I400">
        <v>186.73912947476765</v>
      </c>
      <c r="L400">
        <v>186.6396575668914</v>
      </c>
    </row>
    <row r="401" spans="9:12" x14ac:dyDescent="0.25">
      <c r="I401">
        <v>21.922805205832674</v>
      </c>
      <c r="L401">
        <v>132.84845686760218</v>
      </c>
    </row>
    <row r="402" spans="9:12" x14ac:dyDescent="0.25">
      <c r="I402">
        <v>-153.01766305761839</v>
      </c>
      <c r="L402">
        <v>43.103927842250414</v>
      </c>
    </row>
    <row r="403" spans="9:12" x14ac:dyDescent="0.25">
      <c r="I403">
        <v>50.674693883792088</v>
      </c>
      <c r="L403">
        <v>148.4699760726005</v>
      </c>
    </row>
    <row r="404" spans="9:12" x14ac:dyDescent="0.25">
      <c r="I404">
        <v>-29.523326989643579</v>
      </c>
      <c r="L404">
        <v>141.52293114671551</v>
      </c>
    </row>
    <row r="405" spans="9:12" x14ac:dyDescent="0.25">
      <c r="I405">
        <v>135.88545742238966</v>
      </c>
      <c r="L405">
        <v>26.19442519157775</v>
      </c>
    </row>
    <row r="406" spans="9:12" x14ac:dyDescent="0.25">
      <c r="I406">
        <v>-40.059569564572598</v>
      </c>
      <c r="L406">
        <v>164.43402005733867</v>
      </c>
    </row>
    <row r="407" spans="9:12" x14ac:dyDescent="0.25">
      <c r="I407">
        <v>232.87613598058851</v>
      </c>
      <c r="L407">
        <v>143.80888176845565</v>
      </c>
    </row>
    <row r="408" spans="9:12" x14ac:dyDescent="0.25">
      <c r="I408">
        <v>72.362378483890325</v>
      </c>
      <c r="L408">
        <v>157.99697756336116</v>
      </c>
    </row>
    <row r="409" spans="9:12" x14ac:dyDescent="0.25">
      <c r="I409">
        <v>-41.939276066003458</v>
      </c>
      <c r="L409">
        <v>155.42447935637443</v>
      </c>
    </row>
    <row r="410" spans="9:12" x14ac:dyDescent="0.25">
      <c r="I410">
        <v>201.05429716413983</v>
      </c>
      <c r="L410">
        <v>21.336375106333776</v>
      </c>
    </row>
    <row r="411" spans="9:12" x14ac:dyDescent="0.25">
      <c r="I411">
        <v>228.89754823461681</v>
      </c>
      <c r="L411">
        <v>130.98007796992113</v>
      </c>
    </row>
    <row r="412" spans="9:12" x14ac:dyDescent="0.25">
      <c r="I412">
        <v>181.0866817540691</v>
      </c>
      <c r="L412">
        <v>128.03196063717365</v>
      </c>
    </row>
    <row r="413" spans="9:12" x14ac:dyDescent="0.25">
      <c r="I413">
        <v>294.11790662733438</v>
      </c>
      <c r="L413">
        <v>133.87035744121744</v>
      </c>
    </row>
    <row r="414" spans="9:12" x14ac:dyDescent="0.25">
      <c r="I414">
        <v>37.547141748947979</v>
      </c>
      <c r="L414">
        <v>71.78047263118674</v>
      </c>
    </row>
    <row r="415" spans="9:12" x14ac:dyDescent="0.25">
      <c r="I415">
        <v>288.37639208761038</v>
      </c>
      <c r="L415">
        <v>111.99399623863241</v>
      </c>
    </row>
    <row r="416" spans="9:12" x14ac:dyDescent="0.25">
      <c r="I416">
        <v>81.040483079923433</v>
      </c>
      <c r="L416">
        <v>135.34388829727618</v>
      </c>
    </row>
    <row r="417" spans="9:12" x14ac:dyDescent="0.25">
      <c r="I417">
        <v>-14.679400176751869</v>
      </c>
      <c r="L417">
        <v>120.74644797281644</v>
      </c>
    </row>
    <row r="418" spans="9:12" x14ac:dyDescent="0.25">
      <c r="I418">
        <v>231.99940108269971</v>
      </c>
      <c r="L418">
        <v>195.78138577534821</v>
      </c>
    </row>
    <row r="419" spans="9:12" x14ac:dyDescent="0.25">
      <c r="I419">
        <v>207.14394729040259</v>
      </c>
      <c r="L419">
        <v>269.69174754965809</v>
      </c>
    </row>
    <row r="420" spans="9:12" x14ac:dyDescent="0.25">
      <c r="I420">
        <v>-101.51099896654796</v>
      </c>
      <c r="L420">
        <v>188.38237438720853</v>
      </c>
    </row>
    <row r="421" spans="9:12" x14ac:dyDescent="0.25">
      <c r="I421">
        <v>106.96259103751117</v>
      </c>
      <c r="L421">
        <v>152.38820468747798</v>
      </c>
    </row>
    <row r="422" spans="9:12" x14ac:dyDescent="0.25">
      <c r="I422">
        <v>-61.657107010124832</v>
      </c>
      <c r="L422">
        <v>117.34111975686574</v>
      </c>
    </row>
    <row r="423" spans="9:12" x14ac:dyDescent="0.25">
      <c r="I423">
        <v>310.83034722666639</v>
      </c>
      <c r="L423">
        <v>141.52293114671551</v>
      </c>
    </row>
    <row r="424" spans="9:12" x14ac:dyDescent="0.25">
      <c r="I424">
        <v>274.77131742327333</v>
      </c>
      <c r="L424">
        <v>141.52293114671551</v>
      </c>
    </row>
    <row r="425" spans="9:12" x14ac:dyDescent="0.25">
      <c r="I425">
        <v>223.1919430273374</v>
      </c>
      <c r="L425">
        <v>163.28859191969707</v>
      </c>
    </row>
    <row r="426" spans="9:12" x14ac:dyDescent="0.25">
      <c r="I426">
        <v>30.757770432339271</v>
      </c>
      <c r="L426">
        <v>114.77521400390378</v>
      </c>
    </row>
    <row r="427" spans="9:12" x14ac:dyDescent="0.25">
      <c r="I427">
        <v>-23.319017925915659</v>
      </c>
      <c r="L427">
        <v>128.72625264010111</v>
      </c>
    </row>
    <row r="428" spans="9:12" x14ac:dyDescent="0.25">
      <c r="I428">
        <v>187.51178241010166</v>
      </c>
      <c r="L428">
        <v>176.12278967487129</v>
      </c>
    </row>
    <row r="429" spans="9:12" x14ac:dyDescent="0.25">
      <c r="I429">
        <v>325.19862578260813</v>
      </c>
      <c r="L429">
        <v>169.64829399932967</v>
      </c>
    </row>
    <row r="430" spans="9:12" x14ac:dyDescent="0.25">
      <c r="I430">
        <v>35.744325673938306</v>
      </c>
      <c r="L430">
        <v>11.125327109239436</v>
      </c>
    </row>
    <row r="431" spans="9:12" x14ac:dyDescent="0.25">
      <c r="I431">
        <v>262.1022609702286</v>
      </c>
      <c r="L431">
        <v>158.42675932907406</v>
      </c>
    </row>
    <row r="432" spans="9:12" x14ac:dyDescent="0.25">
      <c r="I432">
        <v>64.92432513917413</v>
      </c>
      <c r="L432">
        <v>168.47931483732123</v>
      </c>
    </row>
    <row r="433" spans="9:12" x14ac:dyDescent="0.25">
      <c r="I433">
        <v>148.32234401624328</v>
      </c>
      <c r="L433">
        <v>164.69338648855887</v>
      </c>
    </row>
    <row r="434" spans="9:12" x14ac:dyDescent="0.25">
      <c r="I434">
        <v>199.54704494204407</v>
      </c>
      <c r="L434">
        <v>116.01524246036524</v>
      </c>
    </row>
    <row r="435" spans="9:12" x14ac:dyDescent="0.25">
      <c r="I435">
        <v>179.58013350001761</v>
      </c>
      <c r="L435">
        <v>220.49051891392139</v>
      </c>
    </row>
    <row r="436" spans="9:12" x14ac:dyDescent="0.25">
      <c r="I436">
        <v>47.312892119957837</v>
      </c>
      <c r="L436">
        <v>120.41815871036687</v>
      </c>
    </row>
    <row r="437" spans="9:12" x14ac:dyDescent="0.25">
      <c r="I437">
        <v>23.818303409608006</v>
      </c>
      <c r="L437">
        <v>106.97645870483694</v>
      </c>
    </row>
    <row r="438" spans="9:12" x14ac:dyDescent="0.25">
      <c r="I438">
        <v>36.441061670275303</v>
      </c>
      <c r="L438">
        <v>152.2819835944872</v>
      </c>
    </row>
    <row r="439" spans="9:12" x14ac:dyDescent="0.25">
      <c r="I439">
        <v>-59.630800422316952</v>
      </c>
      <c r="L439">
        <v>158.74004081948482</v>
      </c>
    </row>
    <row r="440" spans="9:12" x14ac:dyDescent="0.25">
      <c r="I440">
        <v>178.02894999470664</v>
      </c>
      <c r="L440">
        <v>225.14445545054457</v>
      </c>
    </row>
    <row r="441" spans="9:12" x14ac:dyDescent="0.25">
      <c r="I441">
        <v>110.75880108661318</v>
      </c>
      <c r="L441">
        <v>178.01509511248037</v>
      </c>
    </row>
    <row r="442" spans="9:12" x14ac:dyDescent="0.25">
      <c r="I442">
        <v>129.48521864264285</v>
      </c>
      <c r="L442">
        <v>115.45304958988612</v>
      </c>
    </row>
    <row r="443" spans="9:12" x14ac:dyDescent="0.25">
      <c r="I443">
        <v>341.89709831217601</v>
      </c>
      <c r="L443">
        <v>112.16158452201404</v>
      </c>
    </row>
    <row r="444" spans="9:12" x14ac:dyDescent="0.25">
      <c r="I444">
        <v>192.11238746295066</v>
      </c>
      <c r="L444">
        <v>177.29960328222671</v>
      </c>
    </row>
    <row r="445" spans="9:12" x14ac:dyDescent="0.25">
      <c r="I445">
        <v>-153.45821591662002</v>
      </c>
      <c r="L445">
        <v>251.67558065445792</v>
      </c>
    </row>
    <row r="446" spans="9:12" x14ac:dyDescent="0.25">
      <c r="I446">
        <v>-119.26381513821013</v>
      </c>
      <c r="L446">
        <v>150.28865451747168</v>
      </c>
    </row>
    <row r="447" spans="9:12" x14ac:dyDescent="0.25">
      <c r="I447">
        <v>204.41989556310637</v>
      </c>
      <c r="L447">
        <v>98.759164029457054</v>
      </c>
    </row>
    <row r="448" spans="9:12" x14ac:dyDescent="0.25">
      <c r="I448">
        <v>-173.17947778555435</v>
      </c>
      <c r="L448">
        <v>148.01854379026042</v>
      </c>
    </row>
    <row r="449" spans="9:12" x14ac:dyDescent="0.25">
      <c r="I449">
        <v>-176.90748110884579</v>
      </c>
      <c r="L449">
        <v>217.88201208116777</v>
      </c>
    </row>
    <row r="450" spans="9:12" x14ac:dyDescent="0.25">
      <c r="I450">
        <v>228.49417500184131</v>
      </c>
      <c r="L450">
        <v>173.06044188284295</v>
      </c>
    </row>
    <row r="451" spans="9:12" x14ac:dyDescent="0.25">
      <c r="I451">
        <v>223.69415957318733</v>
      </c>
      <c r="L451">
        <v>136.16248256642496</v>
      </c>
    </row>
    <row r="452" spans="9:12" x14ac:dyDescent="0.25">
      <c r="I452">
        <v>195.40961025405613</v>
      </c>
      <c r="L452">
        <v>141.52293114671551</v>
      </c>
    </row>
    <row r="453" spans="9:12" x14ac:dyDescent="0.25">
      <c r="I453">
        <v>39.819206113651717</v>
      </c>
      <c r="L453">
        <v>22.801829242163308</v>
      </c>
    </row>
    <row r="454" spans="9:12" x14ac:dyDescent="0.25">
      <c r="I454">
        <v>337.44579270541726</v>
      </c>
      <c r="L454">
        <v>228.19333173749101</v>
      </c>
    </row>
    <row r="455" spans="9:12" x14ac:dyDescent="0.25">
      <c r="I455">
        <v>-142.85416924452534</v>
      </c>
      <c r="L455">
        <v>35.699004104373785</v>
      </c>
    </row>
    <row r="456" spans="9:12" x14ac:dyDescent="0.25">
      <c r="I456">
        <v>129.64510181424657</v>
      </c>
      <c r="L456">
        <v>154.22488471501566</v>
      </c>
    </row>
    <row r="457" spans="9:12" x14ac:dyDescent="0.25">
      <c r="I457">
        <v>44.822539834067356</v>
      </c>
      <c r="L457">
        <v>182.62209075632279</v>
      </c>
    </row>
    <row r="458" spans="9:12" x14ac:dyDescent="0.25">
      <c r="I458">
        <v>94.694204637201778</v>
      </c>
      <c r="L458">
        <v>265.98919195822759</v>
      </c>
    </row>
    <row r="459" spans="9:12" x14ac:dyDescent="0.25">
      <c r="I459">
        <v>102.22627874658224</v>
      </c>
      <c r="L459">
        <v>148.90464518307289</v>
      </c>
    </row>
    <row r="460" spans="9:12" x14ac:dyDescent="0.25">
      <c r="I460">
        <v>-182.48751318448387</v>
      </c>
      <c r="L460">
        <v>141.90872938962053</v>
      </c>
    </row>
    <row r="461" spans="9:12" x14ac:dyDescent="0.25">
      <c r="I461">
        <v>123.64865233416458</v>
      </c>
      <c r="L461">
        <v>-22.514742361400465</v>
      </c>
    </row>
    <row r="462" spans="9:12" x14ac:dyDescent="0.25">
      <c r="I462">
        <v>-138.37784154873339</v>
      </c>
      <c r="L462">
        <v>107.38939556021148</v>
      </c>
    </row>
    <row r="463" spans="9:12" x14ac:dyDescent="0.25">
      <c r="I463">
        <v>66.564313525347416</v>
      </c>
      <c r="L463">
        <v>-16.036664015818701</v>
      </c>
    </row>
    <row r="464" spans="9:12" x14ac:dyDescent="0.25">
      <c r="I464">
        <v>-10.262520797113893</v>
      </c>
      <c r="L464">
        <v>210.27029479272824</v>
      </c>
    </row>
    <row r="465" spans="9:12" x14ac:dyDescent="0.25">
      <c r="I465">
        <v>374.6275249379305</v>
      </c>
      <c r="L465">
        <v>107.11018507172162</v>
      </c>
    </row>
    <row r="466" spans="9:12" x14ac:dyDescent="0.25">
      <c r="I466">
        <v>274.14650916717846</v>
      </c>
      <c r="L466">
        <v>139.60215105355371</v>
      </c>
    </row>
    <row r="467" spans="9:12" x14ac:dyDescent="0.25">
      <c r="I467">
        <v>186.93120518495448</v>
      </c>
      <c r="L467">
        <v>147.75521122905155</v>
      </c>
    </row>
    <row r="468" spans="9:12" x14ac:dyDescent="0.25">
      <c r="I468">
        <v>-171.52360668487495</v>
      </c>
      <c r="L468">
        <v>152.54427738937136</v>
      </c>
    </row>
    <row r="469" spans="9:12" x14ac:dyDescent="0.25">
      <c r="I469">
        <v>73.724300788376013</v>
      </c>
      <c r="L469">
        <v>130.44786843633563</v>
      </c>
    </row>
    <row r="470" spans="9:12" x14ac:dyDescent="0.25">
      <c r="I470">
        <v>-98.047903755684501</v>
      </c>
      <c r="L470">
        <v>107.92411441362282</v>
      </c>
    </row>
    <row r="471" spans="9:12" x14ac:dyDescent="0.25">
      <c r="I471">
        <v>200.58429558013745</v>
      </c>
      <c r="L471">
        <v>141.52293114671551</v>
      </c>
    </row>
    <row r="472" spans="9:12" x14ac:dyDescent="0.25">
      <c r="I472">
        <v>47.722521811913793</v>
      </c>
      <c r="L472">
        <v>135.53779914092416</v>
      </c>
    </row>
    <row r="473" spans="9:12" x14ac:dyDescent="0.25">
      <c r="I473">
        <v>187.47250994872593</v>
      </c>
      <c r="L473">
        <v>138.03237239920423</v>
      </c>
    </row>
    <row r="474" spans="9:12" x14ac:dyDescent="0.25">
      <c r="I474">
        <v>-112.16504152347761</v>
      </c>
      <c r="L474">
        <v>141.52293114671551</v>
      </c>
    </row>
    <row r="475" spans="9:12" x14ac:dyDescent="0.25">
      <c r="I475">
        <v>197.26942971145127</v>
      </c>
      <c r="L475">
        <v>211.18560923032237</v>
      </c>
    </row>
    <row r="476" spans="9:12" x14ac:dyDescent="0.25">
      <c r="I476">
        <v>186.32948823977131</v>
      </c>
      <c r="L476">
        <v>80.524281974646385</v>
      </c>
    </row>
    <row r="477" spans="9:12" x14ac:dyDescent="0.25">
      <c r="I477">
        <v>5.4096739407802943</v>
      </c>
      <c r="L477">
        <v>-11.150588493407668</v>
      </c>
    </row>
    <row r="478" spans="9:12" x14ac:dyDescent="0.25">
      <c r="I478">
        <v>-39.489663707976888</v>
      </c>
      <c r="L478">
        <v>250.70364588205484</v>
      </c>
    </row>
    <row r="479" spans="9:12" x14ac:dyDescent="0.25">
      <c r="I479">
        <v>20.443622138241153</v>
      </c>
      <c r="L479">
        <v>52.249431248750852</v>
      </c>
    </row>
    <row r="480" spans="9:12" x14ac:dyDescent="0.25">
      <c r="I480">
        <v>264.18024342411718</v>
      </c>
      <c r="L480">
        <v>132.61029685943777</v>
      </c>
    </row>
    <row r="481" spans="9:12" x14ac:dyDescent="0.25">
      <c r="I481">
        <v>30.233707895230623</v>
      </c>
      <c r="L481">
        <v>130.77040190984906</v>
      </c>
    </row>
    <row r="482" spans="9:12" x14ac:dyDescent="0.25">
      <c r="I482">
        <v>267.6475051806176</v>
      </c>
      <c r="L482">
        <v>141.52293114671551</v>
      </c>
    </row>
    <row r="483" spans="9:12" x14ac:dyDescent="0.25">
      <c r="I483">
        <v>24.146983281900702</v>
      </c>
      <c r="L483">
        <v>110.80572595213272</v>
      </c>
    </row>
    <row r="484" spans="9:12" x14ac:dyDescent="0.25">
      <c r="I484">
        <v>80.404527823014178</v>
      </c>
      <c r="L484">
        <v>49.67110334759542</v>
      </c>
    </row>
    <row r="485" spans="9:12" x14ac:dyDescent="0.25">
      <c r="I485">
        <v>-3.643562077052934</v>
      </c>
      <c r="L485">
        <v>149.33393191194909</v>
      </c>
    </row>
    <row r="486" spans="9:12" x14ac:dyDescent="0.25">
      <c r="I486">
        <v>21.285586957978808</v>
      </c>
      <c r="L486">
        <v>118.05773807330718</v>
      </c>
    </row>
    <row r="487" spans="9:12" x14ac:dyDescent="0.25">
      <c r="I487">
        <v>-134.31543078405525</v>
      </c>
      <c r="L487">
        <v>208.47518915746616</v>
      </c>
    </row>
    <row r="488" spans="9:12" x14ac:dyDescent="0.25">
      <c r="I488">
        <v>78.117438080208103</v>
      </c>
      <c r="L488">
        <v>145.32107588149785</v>
      </c>
    </row>
    <row r="489" spans="9:12" x14ac:dyDescent="0.25">
      <c r="I489">
        <v>38.727493232971142</v>
      </c>
      <c r="L489">
        <v>240.60014906523293</v>
      </c>
    </row>
    <row r="490" spans="9:12" x14ac:dyDescent="0.25">
      <c r="I490">
        <v>386.10560803426074</v>
      </c>
      <c r="L490">
        <v>148.40896132440099</v>
      </c>
    </row>
    <row r="491" spans="9:12" x14ac:dyDescent="0.25">
      <c r="I491">
        <v>266.81114059870879</v>
      </c>
      <c r="L491">
        <v>148.5329154392096</v>
      </c>
    </row>
    <row r="492" spans="9:12" x14ac:dyDescent="0.25">
      <c r="I492">
        <v>46.291024389730865</v>
      </c>
      <c r="L492">
        <v>155.62270410906018</v>
      </c>
    </row>
    <row r="493" spans="9:12" x14ac:dyDescent="0.25">
      <c r="I493">
        <v>223.65006160638268</v>
      </c>
      <c r="L493">
        <v>149.06811904658417</v>
      </c>
    </row>
    <row r="494" spans="9:12" x14ac:dyDescent="0.25">
      <c r="I494">
        <v>363.57660446074215</v>
      </c>
      <c r="L494">
        <v>131.32458684342339</v>
      </c>
    </row>
    <row r="495" spans="9:12" x14ac:dyDescent="0.25">
      <c r="I495">
        <v>4.9284378212511228</v>
      </c>
      <c r="L495">
        <v>161.77108181545714</v>
      </c>
    </row>
    <row r="496" spans="9:12" x14ac:dyDescent="0.25">
      <c r="I496">
        <v>8.4662795484393882</v>
      </c>
      <c r="L496">
        <v>-2.6099654616900239</v>
      </c>
    </row>
    <row r="497" spans="9:12" x14ac:dyDescent="0.25">
      <c r="I497">
        <v>-74.141668570616844</v>
      </c>
      <c r="L497">
        <v>164.08400632934865</v>
      </c>
    </row>
    <row r="498" spans="9:12" x14ac:dyDescent="0.25">
      <c r="I498">
        <v>4.6967130655693836</v>
      </c>
      <c r="L498">
        <v>121.32719154266408</v>
      </c>
    </row>
    <row r="499" spans="9:12" x14ac:dyDescent="0.25">
      <c r="I499">
        <v>173.31423253409002</v>
      </c>
      <c r="L499">
        <v>141.52293114671551</v>
      </c>
    </row>
    <row r="500" spans="9:12" x14ac:dyDescent="0.25">
      <c r="I500">
        <v>168.54378291930107</v>
      </c>
      <c r="L500">
        <v>136.67325037206029</v>
      </c>
    </row>
    <row r="501" spans="9:12" x14ac:dyDescent="0.25">
      <c r="I501">
        <v>355.52913361757032</v>
      </c>
      <c r="L501">
        <v>141.52293114671551</v>
      </c>
    </row>
    <row r="502" spans="9:12" x14ac:dyDescent="0.25">
      <c r="I502">
        <v>61.13304043170001</v>
      </c>
      <c r="L502">
        <v>203.70653921547233</v>
      </c>
    </row>
    <row r="503" spans="9:12" x14ac:dyDescent="0.25">
      <c r="I503">
        <v>138.92202740927087</v>
      </c>
      <c r="L503">
        <v>271.10021538539024</v>
      </c>
    </row>
    <row r="504" spans="9:12" x14ac:dyDescent="0.25">
      <c r="I504">
        <v>119.34370189033882</v>
      </c>
      <c r="L504">
        <v>141.52293114671551</v>
      </c>
    </row>
    <row r="505" spans="9:12" x14ac:dyDescent="0.25">
      <c r="I505">
        <v>266.47557347522957</v>
      </c>
      <c r="L505">
        <v>119.11769630281947</v>
      </c>
    </row>
    <row r="506" spans="9:12" x14ac:dyDescent="0.25">
      <c r="I506">
        <v>166.39938672748622</v>
      </c>
      <c r="L506">
        <v>132.56872709666811</v>
      </c>
    </row>
    <row r="507" spans="9:12" x14ac:dyDescent="0.25">
      <c r="I507">
        <v>345.66516495962651</v>
      </c>
      <c r="L507">
        <v>158.11011157575831</v>
      </c>
    </row>
    <row r="508" spans="9:12" x14ac:dyDescent="0.25">
      <c r="I508">
        <v>-234.37897013313591</v>
      </c>
      <c r="L508">
        <v>165.05432220764288</v>
      </c>
    </row>
    <row r="509" spans="9:12" x14ac:dyDescent="0.25">
      <c r="I509">
        <v>325.86702637811868</v>
      </c>
      <c r="L509">
        <v>109.15443475444272</v>
      </c>
    </row>
    <row r="510" spans="9:12" x14ac:dyDescent="0.25">
      <c r="I510">
        <v>-54.197999392059955</v>
      </c>
      <c r="L510">
        <v>155.16028040768953</v>
      </c>
    </row>
    <row r="511" spans="9:12" x14ac:dyDescent="0.25">
      <c r="I511">
        <v>152.28743500250903</v>
      </c>
      <c r="L511">
        <v>121.73654873504904</v>
      </c>
    </row>
    <row r="512" spans="9:12" x14ac:dyDescent="0.25">
      <c r="I512">
        <v>271.76991741863071</v>
      </c>
      <c r="L512">
        <v>200.48656220481331</v>
      </c>
    </row>
    <row r="513" spans="9:12" x14ac:dyDescent="0.25">
      <c r="I513">
        <v>207.1833732372661</v>
      </c>
      <c r="L513">
        <v>137.78528923972652</v>
      </c>
    </row>
    <row r="514" spans="9:12" x14ac:dyDescent="0.25">
      <c r="I514">
        <v>112.47459063197687</v>
      </c>
      <c r="L514">
        <v>119.43729168632842</v>
      </c>
    </row>
    <row r="515" spans="9:12" x14ac:dyDescent="0.25">
      <c r="I515">
        <v>99.999871083021844</v>
      </c>
      <c r="L515">
        <v>256.84914748084611</v>
      </c>
    </row>
    <row r="516" spans="9:12" x14ac:dyDescent="0.25">
      <c r="I516">
        <v>168.08632069578562</v>
      </c>
      <c r="L516">
        <v>164.74851307274133</v>
      </c>
    </row>
    <row r="517" spans="9:12" x14ac:dyDescent="0.25">
      <c r="I517">
        <v>175.6885287890691</v>
      </c>
      <c r="L517">
        <v>191.38904974546267</v>
      </c>
    </row>
    <row r="518" spans="9:12" x14ac:dyDescent="0.25">
      <c r="I518">
        <v>10.886400801655782</v>
      </c>
      <c r="L518">
        <v>129.25573617522679</v>
      </c>
    </row>
    <row r="519" spans="9:12" x14ac:dyDescent="0.25">
      <c r="I519">
        <v>40.910820555788405</v>
      </c>
      <c r="L519">
        <v>148.84629783167605</v>
      </c>
    </row>
    <row r="520" spans="9:12" x14ac:dyDescent="0.25">
      <c r="I520">
        <v>191.61116010459591</v>
      </c>
      <c r="L520">
        <v>130.78351519640103</v>
      </c>
    </row>
    <row r="521" spans="9:12" x14ac:dyDescent="0.25">
      <c r="I521">
        <v>211.13876321582484</v>
      </c>
      <c r="L521">
        <v>153.72387047566144</v>
      </c>
    </row>
    <row r="522" spans="9:12" x14ac:dyDescent="0.25">
      <c r="I522">
        <v>296.97002024568656</v>
      </c>
      <c r="L522">
        <v>74.89876589972863</v>
      </c>
    </row>
    <row r="523" spans="9:12" x14ac:dyDescent="0.25">
      <c r="I523">
        <v>154.13399351742964</v>
      </c>
      <c r="L523">
        <v>254.70771797670307</v>
      </c>
    </row>
    <row r="524" spans="9:12" x14ac:dyDescent="0.25">
      <c r="I524">
        <v>320.52660156824777</v>
      </c>
      <c r="L524">
        <v>141.52293114671551</v>
      </c>
    </row>
    <row r="525" spans="9:12" x14ac:dyDescent="0.25">
      <c r="I525">
        <v>160.17025947108323</v>
      </c>
      <c r="L525">
        <v>149.73260544369759</v>
      </c>
    </row>
    <row r="526" spans="9:12" x14ac:dyDescent="0.25">
      <c r="I526">
        <v>65.830340751384824</v>
      </c>
      <c r="L526">
        <v>162.28536647273995</v>
      </c>
    </row>
    <row r="527" spans="9:12" x14ac:dyDescent="0.25">
      <c r="I527">
        <v>121.27697989843682</v>
      </c>
      <c r="L527">
        <v>111.89831377170941</v>
      </c>
    </row>
    <row r="528" spans="9:12" x14ac:dyDescent="0.25">
      <c r="I528">
        <v>117.45172492869972</v>
      </c>
      <c r="L528">
        <v>114.01870239839189</v>
      </c>
    </row>
    <row r="529" spans="9:12" x14ac:dyDescent="0.25">
      <c r="I529">
        <v>319.89433287468887</v>
      </c>
      <c r="L529">
        <v>39.725061780043347</v>
      </c>
    </row>
    <row r="530" spans="9:12" x14ac:dyDescent="0.25">
      <c r="I530">
        <v>-8.7006481079818059</v>
      </c>
      <c r="L530">
        <v>151.20548221343086</v>
      </c>
    </row>
    <row r="531" spans="9:12" x14ac:dyDescent="0.25">
      <c r="I531">
        <v>10.482204247947493</v>
      </c>
      <c r="L531">
        <v>170.62858511597852</v>
      </c>
    </row>
    <row r="532" spans="9:12" x14ac:dyDescent="0.25">
      <c r="I532">
        <v>-10.810212679691176</v>
      </c>
      <c r="L532">
        <v>260.24512490412906</v>
      </c>
    </row>
    <row r="533" spans="9:12" x14ac:dyDescent="0.25">
      <c r="I533">
        <v>102.95478605101164</v>
      </c>
      <c r="L533">
        <v>128.10006614169419</v>
      </c>
    </row>
    <row r="534" spans="9:12" x14ac:dyDescent="0.25">
      <c r="I534">
        <v>116.21228315778831</v>
      </c>
      <c r="L534">
        <v>205.95238431878596</v>
      </c>
    </row>
    <row r="535" spans="9:12" x14ac:dyDescent="0.25">
      <c r="I535">
        <v>-89.88355398011231</v>
      </c>
      <c r="L535">
        <v>243.18512266505104</v>
      </c>
    </row>
    <row r="536" spans="9:12" x14ac:dyDescent="0.25">
      <c r="I536">
        <v>142.80474065256658</v>
      </c>
      <c r="L536">
        <v>141.52293114671551</v>
      </c>
    </row>
    <row r="537" spans="9:12" x14ac:dyDescent="0.25">
      <c r="I537">
        <v>206.19614437718428</v>
      </c>
      <c r="L537">
        <v>141.82288228616414</v>
      </c>
    </row>
    <row r="538" spans="9:12" x14ac:dyDescent="0.25">
      <c r="I538">
        <v>-152.74841760170341</v>
      </c>
      <c r="L538">
        <v>163.35830614352017</v>
      </c>
    </row>
    <row r="539" spans="9:12" x14ac:dyDescent="0.25">
      <c r="I539">
        <v>375.52589943973999</v>
      </c>
      <c r="L539">
        <v>274.11738151464181</v>
      </c>
    </row>
    <row r="540" spans="9:12" x14ac:dyDescent="0.25">
      <c r="I540">
        <v>112.5844418796911</v>
      </c>
      <c r="L540">
        <v>141.52293114671551</v>
      </c>
    </row>
    <row r="541" spans="9:12" x14ac:dyDescent="0.25">
      <c r="I541">
        <v>-21.862213306113745</v>
      </c>
      <c r="L541">
        <v>161.81991360501092</v>
      </c>
    </row>
    <row r="542" spans="9:12" x14ac:dyDescent="0.25">
      <c r="I542">
        <v>-68.945193393067029</v>
      </c>
      <c r="L542">
        <v>168.11781732258896</v>
      </c>
    </row>
    <row r="543" spans="9:12" x14ac:dyDescent="0.25">
      <c r="I543">
        <v>-98.299258160862792</v>
      </c>
      <c r="L543">
        <v>143.73480372020396</v>
      </c>
    </row>
    <row r="544" spans="9:12" x14ac:dyDescent="0.25">
      <c r="I544">
        <v>39.470849952461663</v>
      </c>
      <c r="L544">
        <v>141.52293114671551</v>
      </c>
    </row>
    <row r="545" spans="9:12" x14ac:dyDescent="0.25">
      <c r="I545">
        <v>110.49694956839721</v>
      </c>
      <c r="L545">
        <v>139.89578480103461</v>
      </c>
    </row>
    <row r="546" spans="9:12" x14ac:dyDescent="0.25">
      <c r="I546">
        <v>-127.36941890422531</v>
      </c>
      <c r="L546">
        <v>131.89292998419506</v>
      </c>
    </row>
    <row r="547" spans="9:12" x14ac:dyDescent="0.25">
      <c r="I547">
        <v>279.11120963921621</v>
      </c>
      <c r="L547">
        <v>141.52293114671551</v>
      </c>
    </row>
    <row r="548" spans="9:12" x14ac:dyDescent="0.25">
      <c r="I548">
        <v>69.890295953393206</v>
      </c>
      <c r="L548">
        <v>43.803890956809369</v>
      </c>
    </row>
    <row r="549" spans="9:12" x14ac:dyDescent="0.25">
      <c r="I549">
        <v>143.29194986776815</v>
      </c>
      <c r="L549">
        <v>170.97586298305646</v>
      </c>
    </row>
    <row r="550" spans="9:12" x14ac:dyDescent="0.25">
      <c r="I550">
        <v>23.653700143245487</v>
      </c>
      <c r="L550">
        <v>263.32852590215634</v>
      </c>
    </row>
    <row r="551" spans="9:12" x14ac:dyDescent="0.25">
      <c r="I551">
        <v>75.342510770870376</v>
      </c>
      <c r="L551">
        <v>151.91348025200324</v>
      </c>
    </row>
    <row r="552" spans="9:12" x14ac:dyDescent="0.25">
      <c r="I552">
        <v>63.707754896048414</v>
      </c>
      <c r="L552">
        <v>141.52293114671551</v>
      </c>
    </row>
    <row r="553" spans="9:12" x14ac:dyDescent="0.25">
      <c r="I553">
        <v>-185.94769651668412</v>
      </c>
      <c r="L553">
        <v>129.0519428755191</v>
      </c>
    </row>
    <row r="554" spans="9:12" x14ac:dyDescent="0.25">
      <c r="I554">
        <v>152.15695127726485</v>
      </c>
      <c r="L554">
        <v>127.2369688707015</v>
      </c>
    </row>
    <row r="555" spans="9:12" x14ac:dyDescent="0.25">
      <c r="I555">
        <v>61.089769695296695</v>
      </c>
      <c r="L555">
        <v>121.28799001745949</v>
      </c>
    </row>
    <row r="556" spans="9:12" x14ac:dyDescent="0.25">
      <c r="I556">
        <v>182.20397977415246</v>
      </c>
      <c r="L556">
        <v>141.52293114671551</v>
      </c>
    </row>
    <row r="557" spans="9:12" x14ac:dyDescent="0.25">
      <c r="I557">
        <v>45.19957174904016</v>
      </c>
      <c r="L557">
        <v>106.9221385092402</v>
      </c>
    </row>
    <row r="558" spans="9:12" x14ac:dyDescent="0.25">
      <c r="I558">
        <v>-160.88412033208419</v>
      </c>
      <c r="L558">
        <v>77.37880804372179</v>
      </c>
    </row>
    <row r="559" spans="9:12" x14ac:dyDescent="0.25">
      <c r="I559">
        <v>13.324654046608543</v>
      </c>
      <c r="L559">
        <v>119.89064213171923</v>
      </c>
    </row>
    <row r="560" spans="9:12" x14ac:dyDescent="0.25">
      <c r="I560">
        <v>283.2974131606436</v>
      </c>
      <c r="L560">
        <v>136.02426093871725</v>
      </c>
    </row>
    <row r="561" spans="9:12" x14ac:dyDescent="0.25">
      <c r="I561">
        <v>-79.291802182252468</v>
      </c>
      <c r="L561">
        <v>18.042603661133114</v>
      </c>
    </row>
    <row r="562" spans="9:12" x14ac:dyDescent="0.25">
      <c r="I562">
        <v>30.956318836176479</v>
      </c>
      <c r="L562">
        <v>194.10342033593849</v>
      </c>
    </row>
    <row r="563" spans="9:12" x14ac:dyDescent="0.25">
      <c r="I563">
        <v>152.59436175669862</v>
      </c>
      <c r="L563">
        <v>164.05828691032127</v>
      </c>
    </row>
    <row r="564" spans="9:12" x14ac:dyDescent="0.25">
      <c r="I564">
        <v>364.0397246231214</v>
      </c>
      <c r="L564">
        <v>197.41494100782666</v>
      </c>
    </row>
    <row r="565" spans="9:12" x14ac:dyDescent="0.25">
      <c r="I565">
        <v>143.78431963650405</v>
      </c>
      <c r="L565">
        <v>83.485764176297835</v>
      </c>
    </row>
    <row r="566" spans="9:12" x14ac:dyDescent="0.25">
      <c r="I566">
        <v>247.05882214994426</v>
      </c>
      <c r="L566">
        <v>100.29379813520575</v>
      </c>
    </row>
    <row r="567" spans="9:12" x14ac:dyDescent="0.25">
      <c r="I567">
        <v>160.81857221786186</v>
      </c>
      <c r="L567">
        <v>218.09114301361865</v>
      </c>
    </row>
    <row r="568" spans="9:12" x14ac:dyDescent="0.25">
      <c r="I568">
        <v>10.046972465753811</v>
      </c>
      <c r="L568">
        <v>226.55457168995054</v>
      </c>
    </row>
    <row r="569" spans="9:12" x14ac:dyDescent="0.25">
      <c r="I569">
        <v>257.31061427874602</v>
      </c>
      <c r="L569">
        <v>113.04143023325594</v>
      </c>
    </row>
    <row r="570" spans="9:12" x14ac:dyDescent="0.25">
      <c r="I570">
        <v>-207.60312607201479</v>
      </c>
      <c r="L570">
        <v>141.52293114671551</v>
      </c>
    </row>
    <row r="571" spans="9:12" x14ac:dyDescent="0.25">
      <c r="I571">
        <v>-5.6272402612162296</v>
      </c>
      <c r="L571">
        <v>141.52293114671551</v>
      </c>
    </row>
    <row r="572" spans="9:12" x14ac:dyDescent="0.25">
      <c r="I572">
        <v>329.4616554460822</v>
      </c>
      <c r="L572">
        <v>110.63280446788349</v>
      </c>
    </row>
    <row r="573" spans="9:12" x14ac:dyDescent="0.25">
      <c r="I573">
        <v>-30.742637917283787</v>
      </c>
      <c r="L573">
        <v>213.06389137904966</v>
      </c>
    </row>
    <row r="574" spans="9:12" x14ac:dyDescent="0.25">
      <c r="I574">
        <v>1.7643215483350332</v>
      </c>
      <c r="L574">
        <v>141.10782317174107</v>
      </c>
    </row>
    <row r="575" spans="9:12" x14ac:dyDescent="0.25">
      <c r="I575">
        <v>294.5141217396822</v>
      </c>
      <c r="L575">
        <v>186.35135458387646</v>
      </c>
    </row>
    <row r="576" spans="9:12" x14ac:dyDescent="0.25">
      <c r="I576">
        <v>91.163488465263526</v>
      </c>
      <c r="L576">
        <v>200.756372022329</v>
      </c>
    </row>
    <row r="577" spans="9:12" x14ac:dyDescent="0.25">
      <c r="I577">
        <v>177.29356552394347</v>
      </c>
      <c r="L577">
        <v>137.06087698439421</v>
      </c>
    </row>
    <row r="578" spans="9:12" x14ac:dyDescent="0.25">
      <c r="I578">
        <v>306.87894505690815</v>
      </c>
      <c r="L578">
        <v>128.9045670637687</v>
      </c>
    </row>
    <row r="579" spans="9:12" x14ac:dyDescent="0.25">
      <c r="I579">
        <v>306.01785900727396</v>
      </c>
      <c r="L579">
        <v>157.24383941757105</v>
      </c>
    </row>
    <row r="580" spans="9:12" x14ac:dyDescent="0.25">
      <c r="I580">
        <v>100.62262541868154</v>
      </c>
      <c r="L580">
        <v>70.320461827370309</v>
      </c>
    </row>
    <row r="581" spans="9:12" x14ac:dyDescent="0.25">
      <c r="I581">
        <v>333.95689620935309</v>
      </c>
      <c r="L581">
        <v>246.47284485311957</v>
      </c>
    </row>
    <row r="582" spans="9:12" x14ac:dyDescent="0.25">
      <c r="I582">
        <v>178.49147213983838</v>
      </c>
      <c r="L582">
        <v>150.47499519365192</v>
      </c>
    </row>
    <row r="583" spans="9:12" x14ac:dyDescent="0.25">
      <c r="I583">
        <v>-21.307289257999173</v>
      </c>
      <c r="L583">
        <v>141.52293114671551</v>
      </c>
    </row>
    <row r="584" spans="9:12" x14ac:dyDescent="0.25">
      <c r="I584">
        <v>164.2089340076875</v>
      </c>
      <c r="L584">
        <v>-26.986190988556757</v>
      </c>
    </row>
    <row r="585" spans="9:12" x14ac:dyDescent="0.25">
      <c r="I585">
        <v>301.68624708576044</v>
      </c>
      <c r="L585">
        <v>174.41384967885892</v>
      </c>
    </row>
    <row r="586" spans="9:12" x14ac:dyDescent="0.25">
      <c r="I586">
        <v>260.62336566617273</v>
      </c>
      <c r="L586">
        <v>141.52293114671551</v>
      </c>
    </row>
    <row r="587" spans="9:12" x14ac:dyDescent="0.25">
      <c r="I587">
        <v>-3.243527853270507</v>
      </c>
      <c r="L587">
        <v>79.101290994944407</v>
      </c>
    </row>
    <row r="588" spans="9:12" x14ac:dyDescent="0.25">
      <c r="I588">
        <v>188.32654577139192</v>
      </c>
      <c r="L588">
        <v>174.41616410737106</v>
      </c>
    </row>
    <row r="589" spans="9:12" x14ac:dyDescent="0.25">
      <c r="I589">
        <v>149.66944970926306</v>
      </c>
      <c r="L589">
        <v>146.84718395255823</v>
      </c>
    </row>
    <row r="590" spans="9:12" x14ac:dyDescent="0.25">
      <c r="I590">
        <v>71.698439322141667</v>
      </c>
      <c r="L590">
        <v>110.30235219865943</v>
      </c>
    </row>
    <row r="591" spans="9:12" x14ac:dyDescent="0.25">
      <c r="I591">
        <v>-182.01159264483272</v>
      </c>
      <c r="L591">
        <v>138.54407755243108</v>
      </c>
    </row>
    <row r="592" spans="9:12" x14ac:dyDescent="0.25">
      <c r="I592">
        <v>129.44505543622654</v>
      </c>
      <c r="L592">
        <v>133.29171215939135</v>
      </c>
    </row>
    <row r="593" spans="9:12" x14ac:dyDescent="0.25">
      <c r="I593">
        <v>-102.78019542174604</v>
      </c>
      <c r="L593">
        <v>264.70993176109209</v>
      </c>
    </row>
    <row r="594" spans="9:12" x14ac:dyDescent="0.25">
      <c r="I594">
        <v>204.62104276699642</v>
      </c>
      <c r="L594">
        <v>107.44963663691715</v>
      </c>
    </row>
    <row r="595" spans="9:12" x14ac:dyDescent="0.25">
      <c r="I595">
        <v>-14.204650019175688</v>
      </c>
      <c r="L595">
        <v>93.850876954286889</v>
      </c>
    </row>
    <row r="596" spans="9:12" x14ac:dyDescent="0.25">
      <c r="I596">
        <v>287.2615246802925</v>
      </c>
      <c r="L596">
        <v>124.83901098603184</v>
      </c>
    </row>
    <row r="597" spans="9:12" x14ac:dyDescent="0.25">
      <c r="I597">
        <v>134.44152937334707</v>
      </c>
      <c r="L597">
        <v>141.52293114671551</v>
      </c>
    </row>
    <row r="598" spans="9:12" x14ac:dyDescent="0.25">
      <c r="I598">
        <v>108.57692047660885</v>
      </c>
      <c r="L598">
        <v>150.9945857492267</v>
      </c>
    </row>
    <row r="599" spans="9:12" x14ac:dyDescent="0.25">
      <c r="I599">
        <v>229.95705103630462</v>
      </c>
      <c r="L599">
        <v>141.52293114671551</v>
      </c>
    </row>
    <row r="600" spans="9:12" x14ac:dyDescent="0.25">
      <c r="I600">
        <v>93.420582939415681</v>
      </c>
      <c r="L600">
        <v>141.52293114671551</v>
      </c>
    </row>
    <row r="601" spans="9:12" x14ac:dyDescent="0.25">
      <c r="I601">
        <v>175.21376905843954</v>
      </c>
      <c r="L601">
        <v>138.44385448498542</v>
      </c>
    </row>
    <row r="602" spans="9:12" x14ac:dyDescent="0.25">
      <c r="I602">
        <v>36.156055513350793</v>
      </c>
      <c r="L602">
        <v>99.202075189335176</v>
      </c>
    </row>
    <row r="603" spans="9:12" x14ac:dyDescent="0.25">
      <c r="I603">
        <v>113.23448148616933</v>
      </c>
      <c r="L603">
        <v>117.04129473726653</v>
      </c>
    </row>
    <row r="604" spans="9:12" x14ac:dyDescent="0.25">
      <c r="I604">
        <v>51.068726238174122</v>
      </c>
      <c r="L604">
        <v>180.83749288217575</v>
      </c>
    </row>
    <row r="605" spans="9:12" x14ac:dyDescent="0.25">
      <c r="I605">
        <v>70.176470062492967</v>
      </c>
      <c r="L605">
        <v>20.714834908177636</v>
      </c>
    </row>
    <row r="606" spans="9:12" x14ac:dyDescent="0.25">
      <c r="I606">
        <v>67.819801378272587</v>
      </c>
      <c r="L606">
        <v>110.66040009531224</v>
      </c>
    </row>
    <row r="607" spans="9:12" x14ac:dyDescent="0.25">
      <c r="I607">
        <v>-109.9251486615135</v>
      </c>
      <c r="L607">
        <v>147.85411539756564</v>
      </c>
    </row>
    <row r="608" spans="9:12" x14ac:dyDescent="0.25">
      <c r="I608">
        <v>189.12126247092783</v>
      </c>
      <c r="L608">
        <v>98.048291693086412</v>
      </c>
    </row>
    <row r="609" spans="9:12" x14ac:dyDescent="0.25">
      <c r="I609">
        <v>125.99129683117008</v>
      </c>
      <c r="L609">
        <v>141.52293114671551</v>
      </c>
    </row>
    <row r="610" spans="9:12" x14ac:dyDescent="0.25">
      <c r="I610">
        <v>64.356362550393442</v>
      </c>
      <c r="L610">
        <v>233.81734018894213</v>
      </c>
    </row>
    <row r="611" spans="9:12" x14ac:dyDescent="0.25">
      <c r="I611">
        <v>214.18707413489255</v>
      </c>
      <c r="L611">
        <v>116.68237360870091</v>
      </c>
    </row>
    <row r="612" spans="9:12" x14ac:dyDescent="0.25">
      <c r="I612">
        <v>249.35694985857344</v>
      </c>
      <c r="L612">
        <v>127.9067269332935</v>
      </c>
    </row>
    <row r="613" spans="9:12" x14ac:dyDescent="0.25">
      <c r="I613">
        <v>116.27505630529879</v>
      </c>
      <c r="L613">
        <v>141.52293114671551</v>
      </c>
    </row>
    <row r="614" spans="9:12" x14ac:dyDescent="0.25">
      <c r="I614">
        <v>-26.269902697926227</v>
      </c>
      <c r="L614">
        <v>167.14667248581048</v>
      </c>
    </row>
    <row r="615" spans="9:12" x14ac:dyDescent="0.25">
      <c r="I615">
        <v>-7.1905509918608459</v>
      </c>
      <c r="L615">
        <v>140.62238165272879</v>
      </c>
    </row>
    <row r="616" spans="9:12" x14ac:dyDescent="0.25">
      <c r="I616">
        <v>166.75389282304218</v>
      </c>
      <c r="L616">
        <v>239.95654642787736</v>
      </c>
    </row>
    <row r="617" spans="9:12" x14ac:dyDescent="0.25">
      <c r="I617">
        <v>92.86145435066021</v>
      </c>
      <c r="L617">
        <v>174.32100299393767</v>
      </c>
    </row>
    <row r="618" spans="9:12" x14ac:dyDescent="0.25">
      <c r="I618">
        <v>285.78398602908442</v>
      </c>
      <c r="L618">
        <v>151.34653615922286</v>
      </c>
    </row>
    <row r="619" spans="9:12" x14ac:dyDescent="0.25">
      <c r="I619">
        <v>165.85642154669949</v>
      </c>
      <c r="L619">
        <v>143.48949542175683</v>
      </c>
    </row>
    <row r="620" spans="9:12" x14ac:dyDescent="0.25">
      <c r="I620">
        <v>40.484066379255523</v>
      </c>
      <c r="L620">
        <v>160.38498518925985</v>
      </c>
    </row>
    <row r="621" spans="9:12" x14ac:dyDescent="0.25">
      <c r="I621">
        <v>184.76527472823454</v>
      </c>
      <c r="L621">
        <v>152.39316817601537</v>
      </c>
    </row>
    <row r="622" spans="9:12" x14ac:dyDescent="0.25">
      <c r="I622">
        <v>86.800468052540509</v>
      </c>
      <c r="L622">
        <v>162.78225286678787</v>
      </c>
    </row>
    <row r="623" spans="9:12" x14ac:dyDescent="0.25">
      <c r="I623">
        <v>184.13399327146362</v>
      </c>
      <c r="L623">
        <v>-12.797857299577117</v>
      </c>
    </row>
    <row r="624" spans="9:12" x14ac:dyDescent="0.25">
      <c r="I624">
        <v>351.73499031575193</v>
      </c>
      <c r="L624">
        <v>136.35137472431853</v>
      </c>
    </row>
    <row r="625" spans="9:12" x14ac:dyDescent="0.25">
      <c r="I625">
        <v>64.841137885891271</v>
      </c>
      <c r="L625">
        <v>-5.5677010385954873</v>
      </c>
    </row>
    <row r="626" spans="9:12" x14ac:dyDescent="0.25">
      <c r="I626">
        <v>-16.390779392058448</v>
      </c>
      <c r="L626">
        <v>107.03804489819788</v>
      </c>
    </row>
    <row r="627" spans="9:12" x14ac:dyDescent="0.25">
      <c r="I627">
        <v>203.51993540489866</v>
      </c>
      <c r="L627">
        <v>92.508843957620229</v>
      </c>
    </row>
    <row r="628" spans="9:12" x14ac:dyDescent="0.25">
      <c r="I628">
        <v>121.3651212342312</v>
      </c>
      <c r="L628">
        <v>171.37356795501887</v>
      </c>
    </row>
    <row r="629" spans="9:12" x14ac:dyDescent="0.25">
      <c r="I629">
        <v>-104.19006816766159</v>
      </c>
      <c r="L629">
        <v>141.52293114671551</v>
      </c>
    </row>
    <row r="630" spans="9:12" x14ac:dyDescent="0.25">
      <c r="I630">
        <v>98.793163151666363</v>
      </c>
      <c r="L630">
        <v>135.7578727466265</v>
      </c>
    </row>
    <row r="631" spans="9:12" x14ac:dyDescent="0.25">
      <c r="I631">
        <v>191.61558724300585</v>
      </c>
      <c r="L631">
        <v>147.62144908644638</v>
      </c>
    </row>
    <row r="632" spans="9:12" x14ac:dyDescent="0.25">
      <c r="I632">
        <v>-93.411431416712503</v>
      </c>
      <c r="L632">
        <v>274.10756975659149</v>
      </c>
    </row>
    <row r="633" spans="9:12" x14ac:dyDescent="0.25">
      <c r="I633">
        <v>96.336011159162354</v>
      </c>
      <c r="L633">
        <v>152.39643208341283</v>
      </c>
    </row>
    <row r="634" spans="9:12" x14ac:dyDescent="0.25">
      <c r="I634">
        <v>124.20159264412541</v>
      </c>
      <c r="L634">
        <v>156.70635161086091</v>
      </c>
    </row>
    <row r="635" spans="9:12" x14ac:dyDescent="0.25">
      <c r="I635">
        <v>-92.061581852029008</v>
      </c>
      <c r="L635">
        <v>262.05518211645972</v>
      </c>
    </row>
    <row r="636" spans="9:12" x14ac:dyDescent="0.25">
      <c r="I636">
        <v>211.21338948940047</v>
      </c>
      <c r="L636">
        <v>232.3591175621043</v>
      </c>
    </row>
    <row r="637" spans="9:12" x14ac:dyDescent="0.25">
      <c r="I637">
        <v>33.601754090723034</v>
      </c>
      <c r="L637">
        <v>120.63409208905551</v>
      </c>
    </row>
    <row r="638" spans="9:12" x14ac:dyDescent="0.25">
      <c r="I638">
        <v>189.74998364325529</v>
      </c>
      <c r="L638">
        <v>18.136630266121699</v>
      </c>
    </row>
    <row r="639" spans="9:12" x14ac:dyDescent="0.25">
      <c r="I639">
        <v>2.0903893266568048</v>
      </c>
      <c r="L639">
        <v>181.77556080122145</v>
      </c>
    </row>
    <row r="640" spans="9:12" x14ac:dyDescent="0.25">
      <c r="I640">
        <v>357.4971189051505</v>
      </c>
      <c r="L640">
        <v>61.141185629387337</v>
      </c>
    </row>
    <row r="641" spans="9:12" x14ac:dyDescent="0.25">
      <c r="I641">
        <v>166.79769412744508</v>
      </c>
      <c r="L641">
        <v>168.96909778402949</v>
      </c>
    </row>
    <row r="642" spans="9:12" x14ac:dyDescent="0.25">
      <c r="I642">
        <v>-76.379581758875247</v>
      </c>
      <c r="L642">
        <v>110.56748814997428</v>
      </c>
    </row>
    <row r="643" spans="9:12" x14ac:dyDescent="0.25">
      <c r="I643">
        <v>382.26779789723582</v>
      </c>
      <c r="L643">
        <v>235.74304226936306</v>
      </c>
    </row>
    <row r="644" spans="9:12" x14ac:dyDescent="0.25">
      <c r="I644">
        <v>264.50532970896688</v>
      </c>
      <c r="L644">
        <v>46.058328775825544</v>
      </c>
    </row>
    <row r="645" spans="9:12" x14ac:dyDescent="0.25">
      <c r="I645">
        <v>214.54944366171526</v>
      </c>
      <c r="L645">
        <v>243.86511766703757</v>
      </c>
    </row>
    <row r="646" spans="9:12" x14ac:dyDescent="0.25">
      <c r="I646">
        <v>103.75769119738754</v>
      </c>
      <c r="L646">
        <v>172.13777931291611</v>
      </c>
    </row>
    <row r="647" spans="9:12" x14ac:dyDescent="0.25">
      <c r="I647">
        <v>-60.729711560254941</v>
      </c>
      <c r="L647">
        <v>168.24579354519551</v>
      </c>
    </row>
    <row r="648" spans="9:12" x14ac:dyDescent="0.25">
      <c r="I648">
        <v>110.32929062541871</v>
      </c>
      <c r="L648">
        <v>124.20499730095116</v>
      </c>
    </row>
    <row r="649" spans="9:12" x14ac:dyDescent="0.25">
      <c r="I649">
        <v>-206.10881315518623</v>
      </c>
      <c r="L649">
        <v>141.52293114671551</v>
      </c>
    </row>
    <row r="650" spans="9:12" x14ac:dyDescent="0.25">
      <c r="I650">
        <v>-1.1824429707641002</v>
      </c>
      <c r="L650">
        <v>221.09425007450523</v>
      </c>
    </row>
    <row r="651" spans="9:12" x14ac:dyDescent="0.25">
      <c r="I651">
        <v>212.80659771384603</v>
      </c>
      <c r="L651">
        <v>127.38991203410546</v>
      </c>
    </row>
    <row r="652" spans="9:12" x14ac:dyDescent="0.25">
      <c r="I652">
        <v>257.8524687770846</v>
      </c>
      <c r="L652">
        <v>143.40876316624184</v>
      </c>
    </row>
    <row r="653" spans="9:12" x14ac:dyDescent="0.25">
      <c r="I653">
        <v>218.85992553592314</v>
      </c>
      <c r="L653">
        <v>152.9071710208608</v>
      </c>
    </row>
    <row r="654" spans="9:12" x14ac:dyDescent="0.25">
      <c r="I654">
        <v>106.40898410485738</v>
      </c>
      <c r="L654">
        <v>167.89287257625563</v>
      </c>
    </row>
    <row r="655" spans="9:12" x14ac:dyDescent="0.25">
      <c r="I655">
        <v>127.31659114191598</v>
      </c>
      <c r="L655">
        <v>156.11241261413818</v>
      </c>
    </row>
    <row r="656" spans="9:12" x14ac:dyDescent="0.25">
      <c r="I656">
        <v>79.297706845034099</v>
      </c>
      <c r="L656">
        <v>82.466119682388069</v>
      </c>
    </row>
    <row r="657" spans="9:12" x14ac:dyDescent="0.25">
      <c r="I657">
        <v>33.235456416027091</v>
      </c>
      <c r="L657">
        <v>126.93209721467622</v>
      </c>
    </row>
    <row r="658" spans="9:12" x14ac:dyDescent="0.25">
      <c r="I658">
        <v>227.44103638591014</v>
      </c>
      <c r="L658">
        <v>172.46967523456135</v>
      </c>
    </row>
    <row r="659" spans="9:12" x14ac:dyDescent="0.25">
      <c r="I659">
        <v>-80.160243324004341</v>
      </c>
      <c r="L659">
        <v>165.97066735049094</v>
      </c>
    </row>
    <row r="660" spans="9:12" x14ac:dyDescent="0.25">
      <c r="I660">
        <v>93.379455901162828</v>
      </c>
      <c r="L660">
        <v>133.29339554009482</v>
      </c>
    </row>
    <row r="661" spans="9:12" x14ac:dyDescent="0.25">
      <c r="I661">
        <v>108.5119604033514</v>
      </c>
      <c r="L661">
        <v>131.14008537905636</v>
      </c>
    </row>
    <row r="662" spans="9:12" x14ac:dyDescent="0.25">
      <c r="I662">
        <v>352.30530803206739</v>
      </c>
      <c r="L662">
        <v>108.82743499699018</v>
      </c>
    </row>
    <row r="663" spans="9:12" x14ac:dyDescent="0.25">
      <c r="I663">
        <v>392.53263102266123</v>
      </c>
      <c r="L663">
        <v>102.04274691786355</v>
      </c>
    </row>
    <row r="664" spans="9:12" x14ac:dyDescent="0.25">
      <c r="I664">
        <v>-174.40441356820543</v>
      </c>
      <c r="L664">
        <v>134.01455628003367</v>
      </c>
    </row>
    <row r="665" spans="9:12" x14ac:dyDescent="0.25">
      <c r="I665">
        <v>-159.39173544093364</v>
      </c>
      <c r="L665">
        <v>108.65019019643688</v>
      </c>
    </row>
    <row r="666" spans="9:12" x14ac:dyDescent="0.25">
      <c r="I666">
        <v>60.468276330108779</v>
      </c>
      <c r="L666">
        <v>121.77036655938298</v>
      </c>
    </row>
    <row r="667" spans="9:12" x14ac:dyDescent="0.25">
      <c r="I667">
        <v>210.90011564931729</v>
      </c>
      <c r="L667">
        <v>123.42267074035465</v>
      </c>
    </row>
    <row r="668" spans="9:12" x14ac:dyDescent="0.25">
      <c r="I668">
        <v>243.06376494463075</v>
      </c>
      <c r="L668">
        <v>173.01722267843104</v>
      </c>
    </row>
    <row r="669" spans="9:12" x14ac:dyDescent="0.25">
      <c r="I669">
        <v>-6.6180524192847088</v>
      </c>
      <c r="L669">
        <v>110.25666490231799</v>
      </c>
    </row>
    <row r="670" spans="9:12" x14ac:dyDescent="0.25">
      <c r="I670">
        <v>-40.135740831069711</v>
      </c>
      <c r="L670">
        <v>126.01633672993455</v>
      </c>
    </row>
    <row r="671" spans="9:12" x14ac:dyDescent="0.25">
      <c r="I671">
        <v>-286.24638840861644</v>
      </c>
      <c r="L671">
        <v>117.40896956868141</v>
      </c>
    </row>
    <row r="672" spans="9:12" x14ac:dyDescent="0.25">
      <c r="I672">
        <v>119.89368063065717</v>
      </c>
      <c r="L672">
        <v>125.14482838336744</v>
      </c>
    </row>
    <row r="673" spans="9:12" x14ac:dyDescent="0.25">
      <c r="I673">
        <v>3.3038010123617596</v>
      </c>
      <c r="L673">
        <v>125.00834848928264</v>
      </c>
    </row>
    <row r="674" spans="9:12" x14ac:dyDescent="0.25">
      <c r="I674">
        <v>209.8703472940947</v>
      </c>
      <c r="L674">
        <v>210.37374852833727</v>
      </c>
    </row>
    <row r="675" spans="9:12" x14ac:dyDescent="0.25">
      <c r="I675">
        <v>311.19651185536623</v>
      </c>
      <c r="L675">
        <v>141.52293114671551</v>
      </c>
    </row>
    <row r="676" spans="9:12" x14ac:dyDescent="0.25">
      <c r="I676">
        <v>3.4189820218164186</v>
      </c>
      <c r="L676">
        <v>141.52293114671551</v>
      </c>
    </row>
    <row r="677" spans="9:12" x14ac:dyDescent="0.25">
      <c r="I677">
        <v>147.10777017556279</v>
      </c>
      <c r="L677">
        <v>108.90279230325172</v>
      </c>
    </row>
    <row r="678" spans="9:12" x14ac:dyDescent="0.25">
      <c r="I678">
        <v>57.520915928844602</v>
      </c>
      <c r="L678">
        <v>141.52293114671551</v>
      </c>
    </row>
    <row r="679" spans="9:12" x14ac:dyDescent="0.25">
      <c r="I679">
        <v>69.896479892226466</v>
      </c>
      <c r="L679">
        <v>126.72387584567309</v>
      </c>
    </row>
    <row r="680" spans="9:12" x14ac:dyDescent="0.25">
      <c r="I680">
        <v>101.5363401795687</v>
      </c>
      <c r="L680">
        <v>141.52293114671551</v>
      </c>
    </row>
    <row r="681" spans="9:12" x14ac:dyDescent="0.25">
      <c r="I681">
        <v>220.98674974731921</v>
      </c>
      <c r="L681">
        <v>113.68129579734773</v>
      </c>
    </row>
    <row r="682" spans="9:12" x14ac:dyDescent="0.25">
      <c r="I682">
        <v>261.01646696716261</v>
      </c>
      <c r="L682">
        <v>174.80329169931423</v>
      </c>
    </row>
    <row r="683" spans="9:12" x14ac:dyDescent="0.25">
      <c r="I683">
        <v>288.14790527973014</v>
      </c>
      <c r="L683">
        <v>148.46588970945942</v>
      </c>
    </row>
    <row r="684" spans="9:12" x14ac:dyDescent="0.25">
      <c r="I684">
        <v>-213.20432879670875</v>
      </c>
      <c r="L684">
        <v>162.2461523309351</v>
      </c>
    </row>
    <row r="685" spans="9:12" x14ac:dyDescent="0.25">
      <c r="I685">
        <v>-166.93819401064775</v>
      </c>
      <c r="L685">
        <v>224.57884565224754</v>
      </c>
    </row>
    <row r="686" spans="9:12" x14ac:dyDescent="0.25">
      <c r="I686">
        <v>279.93313828718965</v>
      </c>
      <c r="L686">
        <v>139.82058526242548</v>
      </c>
    </row>
    <row r="687" spans="9:12" x14ac:dyDescent="0.25">
      <c r="I687">
        <v>255.35807474450394</v>
      </c>
      <c r="L687">
        <v>223.89297455382484</v>
      </c>
    </row>
    <row r="688" spans="9:12" x14ac:dyDescent="0.25">
      <c r="I688">
        <v>173.74627460491456</v>
      </c>
      <c r="L688">
        <v>94.472521948902852</v>
      </c>
    </row>
    <row r="689" spans="9:12" x14ac:dyDescent="0.25">
      <c r="I689">
        <v>309.61380512532833</v>
      </c>
      <c r="L689">
        <v>174.56308586780983</v>
      </c>
    </row>
    <row r="690" spans="9:12" x14ac:dyDescent="0.25">
      <c r="I690">
        <v>-102.0180615198035</v>
      </c>
      <c r="L690">
        <v>144.60695228454119</v>
      </c>
    </row>
    <row r="691" spans="9:12" x14ac:dyDescent="0.25">
      <c r="I691">
        <v>-111.16829063172054</v>
      </c>
      <c r="L691">
        <v>98.662084392044505</v>
      </c>
    </row>
    <row r="692" spans="9:12" x14ac:dyDescent="0.25">
      <c r="I692">
        <v>-23.564104971358347</v>
      </c>
      <c r="L692">
        <v>141.52293114671551</v>
      </c>
    </row>
    <row r="693" spans="9:12" x14ac:dyDescent="0.25">
      <c r="I693">
        <v>-291.43256841114544</v>
      </c>
      <c r="L693">
        <v>134.66317457194384</v>
      </c>
    </row>
    <row r="694" spans="9:12" x14ac:dyDescent="0.25">
      <c r="I694">
        <v>136.32801876764347</v>
      </c>
      <c r="L694">
        <v>121.90831620730233</v>
      </c>
    </row>
    <row r="695" spans="9:12" x14ac:dyDescent="0.25">
      <c r="I695">
        <v>-13.458767204161518</v>
      </c>
      <c r="L695">
        <v>198.57308715200861</v>
      </c>
    </row>
    <row r="696" spans="9:12" x14ac:dyDescent="0.25">
      <c r="I696">
        <v>287.55624532251477</v>
      </c>
      <c r="L696">
        <v>206.65063056755957</v>
      </c>
    </row>
    <row r="697" spans="9:12" x14ac:dyDescent="0.25">
      <c r="I697">
        <v>-73.729465276270503</v>
      </c>
      <c r="L697">
        <v>269.70526030167821</v>
      </c>
    </row>
    <row r="698" spans="9:12" x14ac:dyDescent="0.25">
      <c r="I698">
        <v>228.76509224516076</v>
      </c>
      <c r="L698">
        <v>121.15426303893048</v>
      </c>
    </row>
    <row r="699" spans="9:12" x14ac:dyDescent="0.25">
      <c r="I699">
        <v>178.2568306564674</v>
      </c>
      <c r="L699">
        <v>209.0746198926098</v>
      </c>
    </row>
    <row r="700" spans="9:12" x14ac:dyDescent="0.25">
      <c r="I700">
        <v>308.62398557636925</v>
      </c>
      <c r="L700">
        <v>164.98254801055947</v>
      </c>
    </row>
    <row r="701" spans="9:12" x14ac:dyDescent="0.25">
      <c r="I701">
        <v>241.32145158907542</v>
      </c>
      <c r="L701">
        <v>143.10986287327592</v>
      </c>
    </row>
    <row r="702" spans="9:12" x14ac:dyDescent="0.25">
      <c r="I702">
        <v>-245.09854576454552</v>
      </c>
      <c r="L702">
        <v>48.421385281444941</v>
      </c>
    </row>
    <row r="703" spans="9:12" x14ac:dyDescent="0.25">
      <c r="I703">
        <v>166.40982631946031</v>
      </c>
      <c r="L703">
        <v>247.19533747697324</v>
      </c>
    </row>
    <row r="704" spans="9:12" x14ac:dyDescent="0.25">
      <c r="I704">
        <v>66.898293291849541</v>
      </c>
      <c r="L704">
        <v>261.64365194082689</v>
      </c>
    </row>
    <row r="705" spans="9:12" x14ac:dyDescent="0.25">
      <c r="I705">
        <v>163.70733285122242</v>
      </c>
      <c r="L705">
        <v>141.08217827668938</v>
      </c>
    </row>
    <row r="706" spans="9:12" x14ac:dyDescent="0.25">
      <c r="I706">
        <v>-72.724287611597902</v>
      </c>
      <c r="L706">
        <v>265.34060618529861</v>
      </c>
    </row>
    <row r="707" spans="9:12" x14ac:dyDescent="0.25">
      <c r="I707">
        <v>28.834436864633744</v>
      </c>
      <c r="L707">
        <v>141.52293114671551</v>
      </c>
    </row>
    <row r="708" spans="9:12" x14ac:dyDescent="0.25">
      <c r="I708">
        <v>310.6793256857527</v>
      </c>
      <c r="L708">
        <v>240.12111837008149</v>
      </c>
    </row>
    <row r="709" spans="9:12" x14ac:dyDescent="0.25">
      <c r="I709">
        <v>-122.46490174725636</v>
      </c>
      <c r="L709">
        <v>152.39036681173229</v>
      </c>
    </row>
    <row r="710" spans="9:12" x14ac:dyDescent="0.25">
      <c r="I710">
        <v>-61.401195310696835</v>
      </c>
      <c r="L710">
        <v>113.51546862118295</v>
      </c>
    </row>
    <row r="711" spans="9:12" x14ac:dyDescent="0.25">
      <c r="I711">
        <v>36.487646508046737</v>
      </c>
      <c r="L711">
        <v>141.52293114671551</v>
      </c>
    </row>
    <row r="712" spans="9:12" x14ac:dyDescent="0.25">
      <c r="I712">
        <v>121.3784640716176</v>
      </c>
      <c r="L712">
        <v>130.00136866498497</v>
      </c>
    </row>
    <row r="713" spans="9:12" x14ac:dyDescent="0.25">
      <c r="I713">
        <v>12.187325890140755</v>
      </c>
      <c r="L713">
        <v>168.83696381053551</v>
      </c>
    </row>
    <row r="714" spans="9:12" x14ac:dyDescent="0.25">
      <c r="I714">
        <v>110.21480257240501</v>
      </c>
      <c r="L714">
        <v>139.52612507893508</v>
      </c>
    </row>
    <row r="715" spans="9:12" x14ac:dyDescent="0.25">
      <c r="I715">
        <v>-62.437718321191824</v>
      </c>
      <c r="L715">
        <v>141.52293114671551</v>
      </c>
    </row>
    <row r="716" spans="9:12" x14ac:dyDescent="0.25">
      <c r="I716">
        <v>200.8267845874152</v>
      </c>
      <c r="L716">
        <v>200.7543383955832</v>
      </c>
    </row>
    <row r="717" spans="9:12" x14ac:dyDescent="0.25">
      <c r="I717">
        <v>138.80920356999559</v>
      </c>
      <c r="L717">
        <v>141.52293114671551</v>
      </c>
    </row>
    <row r="718" spans="9:12" x14ac:dyDescent="0.25">
      <c r="I718">
        <v>5.7192524168196996</v>
      </c>
      <c r="L718">
        <v>110.81839967466362</v>
      </c>
    </row>
    <row r="719" spans="9:12" x14ac:dyDescent="0.25">
      <c r="I719">
        <v>215.00672687374004</v>
      </c>
      <c r="L719">
        <v>139.09310620336129</v>
      </c>
    </row>
    <row r="720" spans="9:12" x14ac:dyDescent="0.25">
      <c r="I720">
        <v>13.425548944152979</v>
      </c>
      <c r="L720">
        <v>141.52293114671551</v>
      </c>
    </row>
    <row r="721" spans="9:12" x14ac:dyDescent="0.25">
      <c r="I721">
        <v>158.66311873708514</v>
      </c>
      <c r="L721">
        <v>154.54898947714639</v>
      </c>
    </row>
    <row r="722" spans="9:12" x14ac:dyDescent="0.25">
      <c r="I722">
        <v>333.88262313445694</v>
      </c>
      <c r="L722">
        <v>120.3137041580996</v>
      </c>
    </row>
    <row r="723" spans="9:12" x14ac:dyDescent="0.25">
      <c r="I723">
        <v>235.94283258587575</v>
      </c>
      <c r="L723">
        <v>136.51703932594722</v>
      </c>
    </row>
    <row r="724" spans="9:12" x14ac:dyDescent="0.25">
      <c r="I724">
        <v>251.66002776880987</v>
      </c>
      <c r="L724">
        <v>29.559427107362126</v>
      </c>
    </row>
    <row r="725" spans="9:12" x14ac:dyDescent="0.25">
      <c r="I725">
        <v>48.103214442608305</v>
      </c>
      <c r="L725">
        <v>138.73335529594647</v>
      </c>
    </row>
    <row r="726" spans="9:12" x14ac:dyDescent="0.25">
      <c r="I726">
        <v>154.69618402447577</v>
      </c>
      <c r="L726">
        <v>114.85685926240683</v>
      </c>
    </row>
    <row r="727" spans="9:12" x14ac:dyDescent="0.25">
      <c r="I727">
        <v>-39.389917075412086</v>
      </c>
      <c r="L727">
        <v>186.98226975294443</v>
      </c>
    </row>
    <row r="728" spans="9:12" x14ac:dyDescent="0.25">
      <c r="I728">
        <v>53.971362509132291</v>
      </c>
      <c r="L728">
        <v>138.80896432481489</v>
      </c>
    </row>
    <row r="729" spans="9:12" x14ac:dyDescent="0.25">
      <c r="I729">
        <v>-198.22805670209493</v>
      </c>
      <c r="L729">
        <v>110.12568637668073</v>
      </c>
    </row>
    <row r="730" spans="9:12" x14ac:dyDescent="0.25">
      <c r="I730">
        <v>253.07141143256922</v>
      </c>
      <c r="L730">
        <v>209.61656657151809</v>
      </c>
    </row>
    <row r="731" spans="9:12" x14ac:dyDescent="0.25">
      <c r="I731">
        <v>-155.21492732207082</v>
      </c>
      <c r="L731">
        <v>159.59868012692891</v>
      </c>
    </row>
    <row r="732" spans="9:12" x14ac:dyDescent="0.25">
      <c r="I732">
        <v>-61.860930191127181</v>
      </c>
      <c r="L732">
        <v>165.88937279671802</v>
      </c>
    </row>
    <row r="733" spans="9:12" x14ac:dyDescent="0.25">
      <c r="I733">
        <v>-132.92246812286874</v>
      </c>
      <c r="L733">
        <v>141.52293114671551</v>
      </c>
    </row>
    <row r="734" spans="9:12" x14ac:dyDescent="0.25">
      <c r="I734">
        <v>340.1785332784134</v>
      </c>
      <c r="L734">
        <v>154.96666035314433</v>
      </c>
    </row>
    <row r="735" spans="9:12" x14ac:dyDescent="0.25">
      <c r="I735">
        <v>-10.103808011217438</v>
      </c>
      <c r="L735">
        <v>141.52293114671551</v>
      </c>
    </row>
    <row r="736" spans="9:12" x14ac:dyDescent="0.25">
      <c r="I736">
        <v>-58.220831221318008</v>
      </c>
      <c r="L736">
        <v>251.3527107198654</v>
      </c>
    </row>
    <row r="737" spans="9:12" x14ac:dyDescent="0.25">
      <c r="I737">
        <v>51.193395652651134</v>
      </c>
      <c r="L737">
        <v>124.47771972779537</v>
      </c>
    </row>
    <row r="738" spans="9:12" x14ac:dyDescent="0.25">
      <c r="I738">
        <v>62.961353378401327</v>
      </c>
      <c r="L738">
        <v>222.00400330707737</v>
      </c>
    </row>
    <row r="739" spans="9:12" x14ac:dyDescent="0.25">
      <c r="I739">
        <v>-17.084289630232433</v>
      </c>
      <c r="L739">
        <v>130.43345183657686</v>
      </c>
    </row>
    <row r="740" spans="9:12" x14ac:dyDescent="0.25">
      <c r="I740">
        <v>-89.178999001880584</v>
      </c>
      <c r="L740">
        <v>154.67046584024337</v>
      </c>
    </row>
    <row r="741" spans="9:12" x14ac:dyDescent="0.25">
      <c r="I741">
        <v>356.26554555248094</v>
      </c>
      <c r="L741">
        <v>141.52293114671551</v>
      </c>
    </row>
    <row r="742" spans="9:12" x14ac:dyDescent="0.25">
      <c r="I742">
        <v>-40.641915420642704</v>
      </c>
      <c r="L742">
        <v>198.53862508305775</v>
      </c>
    </row>
    <row r="743" spans="9:12" x14ac:dyDescent="0.25">
      <c r="I743">
        <v>172.70845167396737</v>
      </c>
      <c r="L743">
        <v>141.24491299562544</v>
      </c>
    </row>
    <row r="744" spans="9:12" x14ac:dyDescent="0.25">
      <c r="I744">
        <v>52.190029920006737</v>
      </c>
      <c r="L744">
        <v>147.65210817668026</v>
      </c>
    </row>
    <row r="745" spans="9:12" x14ac:dyDescent="0.25">
      <c r="I745">
        <v>307.04858864244238</v>
      </c>
      <c r="L745">
        <v>128.73954531635366</v>
      </c>
    </row>
    <row r="746" spans="9:12" x14ac:dyDescent="0.25">
      <c r="I746">
        <v>186.84351327094987</v>
      </c>
      <c r="L746">
        <v>105.67829377628829</v>
      </c>
    </row>
    <row r="747" spans="9:12" x14ac:dyDescent="0.25">
      <c r="I747">
        <v>126.7260101663926</v>
      </c>
      <c r="L747">
        <v>135.48703218298652</v>
      </c>
    </row>
    <row r="748" spans="9:12" x14ac:dyDescent="0.25">
      <c r="I748">
        <v>-100.77409438681877</v>
      </c>
      <c r="L748">
        <v>8.0012749545232964E-2</v>
      </c>
    </row>
    <row r="749" spans="9:12" x14ac:dyDescent="0.25">
      <c r="I749">
        <v>147.91448298261207</v>
      </c>
      <c r="L749">
        <v>133.89508513341258</v>
      </c>
    </row>
    <row r="750" spans="9:12" x14ac:dyDescent="0.25">
      <c r="I750">
        <v>-109.71147914817186</v>
      </c>
      <c r="L750">
        <v>173.76178666274581</v>
      </c>
    </row>
    <row r="751" spans="9:12" x14ac:dyDescent="0.25">
      <c r="I751">
        <v>411.32307005872644</v>
      </c>
      <c r="L751">
        <v>113.43067910101212</v>
      </c>
    </row>
    <row r="752" spans="9:12" x14ac:dyDescent="0.25">
      <c r="I752">
        <v>282.30360637735657</v>
      </c>
      <c r="L752">
        <v>190.43172534263351</v>
      </c>
    </row>
    <row r="753" spans="9:12" x14ac:dyDescent="0.25">
      <c r="I753">
        <v>-238.27288263463925</v>
      </c>
      <c r="L753">
        <v>144.87192729497571</v>
      </c>
    </row>
    <row r="754" spans="9:12" x14ac:dyDescent="0.25">
      <c r="I754">
        <v>149.09360767102044</v>
      </c>
      <c r="L754">
        <v>221.07688980000592</v>
      </c>
    </row>
    <row r="755" spans="9:12" x14ac:dyDescent="0.25">
      <c r="I755">
        <v>151.42427764303125</v>
      </c>
      <c r="L755">
        <v>255.30003173665136</v>
      </c>
    </row>
    <row r="756" spans="9:12" x14ac:dyDescent="0.25">
      <c r="I756">
        <v>-42.359195593691766</v>
      </c>
      <c r="L756">
        <v>269.27191889121991</v>
      </c>
    </row>
    <row r="757" spans="9:12" x14ac:dyDescent="0.25">
      <c r="I757">
        <v>224.90500935847194</v>
      </c>
      <c r="L757">
        <v>115.69424036584354</v>
      </c>
    </row>
    <row r="758" spans="9:12" x14ac:dyDescent="0.25">
      <c r="I758">
        <v>290.81396467723857</v>
      </c>
      <c r="L758">
        <v>106.12970125866337</v>
      </c>
    </row>
    <row r="759" spans="9:12" x14ac:dyDescent="0.25">
      <c r="I759">
        <v>94.129242677099001</v>
      </c>
      <c r="L759">
        <v>141.52293114671551</v>
      </c>
    </row>
    <row r="760" spans="9:12" x14ac:dyDescent="0.25">
      <c r="I760">
        <v>28.03371971122192</v>
      </c>
      <c r="L760">
        <v>139.89414292999936</v>
      </c>
    </row>
    <row r="761" spans="9:12" x14ac:dyDescent="0.25">
      <c r="I761">
        <v>181.9282185099637</v>
      </c>
      <c r="L761">
        <v>167.89540910670269</v>
      </c>
    </row>
    <row r="762" spans="9:12" x14ac:dyDescent="0.25">
      <c r="I762">
        <v>198.24734433526714</v>
      </c>
      <c r="L762">
        <v>69.698551471374913</v>
      </c>
    </row>
    <row r="763" spans="9:12" x14ac:dyDescent="0.25">
      <c r="I763">
        <v>120.43209128697333</v>
      </c>
      <c r="L763">
        <v>117.46834907615562</v>
      </c>
    </row>
    <row r="764" spans="9:12" x14ac:dyDescent="0.25">
      <c r="I764">
        <v>-61.930149523434352</v>
      </c>
      <c r="L764">
        <v>85.011695642897962</v>
      </c>
    </row>
    <row r="765" spans="9:12" x14ac:dyDescent="0.25">
      <c r="I765">
        <v>-221.85661175005225</v>
      </c>
      <c r="L765">
        <v>141.52293114671551</v>
      </c>
    </row>
    <row r="766" spans="9:12" x14ac:dyDescent="0.25">
      <c r="I766">
        <v>202.06855774340056</v>
      </c>
      <c r="L766">
        <v>248.69301105515888</v>
      </c>
    </row>
    <row r="767" spans="9:12" x14ac:dyDescent="0.25">
      <c r="I767">
        <v>41.864077409889887</v>
      </c>
      <c r="L767">
        <v>141.52293114671551</v>
      </c>
    </row>
    <row r="768" spans="9:12" x14ac:dyDescent="0.25">
      <c r="I768">
        <v>288.99743502548927</v>
      </c>
      <c r="L768">
        <v>141.52293114671551</v>
      </c>
    </row>
    <row r="769" spans="9:12" x14ac:dyDescent="0.25">
      <c r="I769">
        <v>-129.47042647040598</v>
      </c>
      <c r="L769">
        <v>158.30758668172905</v>
      </c>
    </row>
    <row r="770" spans="9:12" x14ac:dyDescent="0.25">
      <c r="I770">
        <v>130.71687821252249</v>
      </c>
      <c r="L770">
        <v>131.35274790407556</v>
      </c>
    </row>
    <row r="771" spans="9:12" x14ac:dyDescent="0.25">
      <c r="I771">
        <v>86.646245892946808</v>
      </c>
      <c r="L771">
        <v>237.71820220727807</v>
      </c>
    </row>
    <row r="772" spans="9:12" x14ac:dyDescent="0.25">
      <c r="I772">
        <v>-70.848096606326862</v>
      </c>
      <c r="L772">
        <v>116.25442250519689</v>
      </c>
    </row>
    <row r="773" spans="9:12" x14ac:dyDescent="0.25">
      <c r="I773">
        <v>115.85979375523959</v>
      </c>
      <c r="L773">
        <v>18.402151237388011</v>
      </c>
    </row>
    <row r="774" spans="9:12" x14ac:dyDescent="0.25">
      <c r="I774">
        <v>-1.9734242703300424</v>
      </c>
      <c r="L774">
        <v>140.46013446445187</v>
      </c>
    </row>
    <row r="775" spans="9:12" x14ac:dyDescent="0.25">
      <c r="I775">
        <v>140.24275678608615</v>
      </c>
      <c r="L775">
        <v>250.35926480886906</v>
      </c>
    </row>
    <row r="776" spans="9:12" x14ac:dyDescent="0.25">
      <c r="I776">
        <v>95.692026905908961</v>
      </c>
      <c r="L776">
        <v>160.39962624536093</v>
      </c>
    </row>
    <row r="777" spans="9:12" x14ac:dyDescent="0.25">
      <c r="I777">
        <v>395.76012194784744</v>
      </c>
      <c r="L777">
        <v>166.01470216738636</v>
      </c>
    </row>
    <row r="778" spans="9:12" x14ac:dyDescent="0.25">
      <c r="I778">
        <v>12.790584285518207</v>
      </c>
      <c r="L778">
        <v>121.97444363842965</v>
      </c>
    </row>
    <row r="779" spans="9:12" x14ac:dyDescent="0.25">
      <c r="I779">
        <v>149.41610088343714</v>
      </c>
      <c r="L779">
        <v>141.52293114671551</v>
      </c>
    </row>
    <row r="780" spans="9:12" x14ac:dyDescent="0.25">
      <c r="I780">
        <v>128.26854815389356</v>
      </c>
      <c r="L780">
        <v>167.01475885706822</v>
      </c>
    </row>
    <row r="781" spans="9:12" x14ac:dyDescent="0.25">
      <c r="I781">
        <v>-232.5400758116001</v>
      </c>
      <c r="L781">
        <v>118.48585503537998</v>
      </c>
    </row>
    <row r="782" spans="9:12" x14ac:dyDescent="0.25">
      <c r="I782">
        <v>201.28018595888216</v>
      </c>
      <c r="L782">
        <v>45.021609833066577</v>
      </c>
    </row>
    <row r="783" spans="9:12" x14ac:dyDescent="0.25">
      <c r="I783">
        <v>38.342995704492751</v>
      </c>
      <c r="L783">
        <v>141.52293114671551</v>
      </c>
    </row>
    <row r="784" spans="9:12" x14ac:dyDescent="0.25">
      <c r="I784">
        <v>182.24332172579466</v>
      </c>
      <c r="L784">
        <v>183.88601738618581</v>
      </c>
    </row>
    <row r="785" spans="9:12" x14ac:dyDescent="0.25">
      <c r="I785">
        <v>305.77029542453374</v>
      </c>
      <c r="L785">
        <v>186.68773325946597</v>
      </c>
    </row>
    <row r="786" spans="9:12" x14ac:dyDescent="0.25">
      <c r="I786">
        <v>-3.1648502738751176</v>
      </c>
      <c r="L786">
        <v>246.22671261298672</v>
      </c>
    </row>
    <row r="787" spans="9:12" x14ac:dyDescent="0.25">
      <c r="I787">
        <v>93.194134554705329</v>
      </c>
      <c r="L787">
        <v>141.52293114671551</v>
      </c>
    </row>
    <row r="788" spans="9:12" x14ac:dyDescent="0.25">
      <c r="I788">
        <v>419.26045518651063</v>
      </c>
      <c r="L788">
        <v>88.497294634732896</v>
      </c>
    </row>
    <row r="789" spans="9:12" x14ac:dyDescent="0.25">
      <c r="I789">
        <v>204.90947145003497</v>
      </c>
      <c r="L789">
        <v>112.47551035953995</v>
      </c>
    </row>
    <row r="790" spans="9:12" x14ac:dyDescent="0.25">
      <c r="I790">
        <v>136.23113308676125</v>
      </c>
      <c r="L790">
        <v>164.5888592142893</v>
      </c>
    </row>
    <row r="791" spans="9:12" x14ac:dyDescent="0.25">
      <c r="I791">
        <v>108.60529208995968</v>
      </c>
      <c r="L791">
        <v>166.28047916619232</v>
      </c>
    </row>
    <row r="792" spans="9:12" x14ac:dyDescent="0.25">
      <c r="I792">
        <v>271.67514108431033</v>
      </c>
      <c r="L792">
        <v>-10.022229977023642</v>
      </c>
    </row>
    <row r="793" spans="9:12" x14ac:dyDescent="0.25">
      <c r="I793">
        <v>7.0095041103422773</v>
      </c>
      <c r="L793">
        <v>150.81491969996245</v>
      </c>
    </row>
    <row r="794" spans="9:12" x14ac:dyDescent="0.25">
      <c r="I794">
        <v>136.75258221713511</v>
      </c>
      <c r="L794">
        <v>188.45691524617314</v>
      </c>
    </row>
    <row r="795" spans="9:12" x14ac:dyDescent="0.25">
      <c r="I795">
        <v>58.79705222257644</v>
      </c>
      <c r="L795">
        <v>83.083246507175886</v>
      </c>
    </row>
    <row r="796" spans="9:12" x14ac:dyDescent="0.25">
      <c r="I796">
        <v>86.571630968731824</v>
      </c>
      <c r="L796">
        <v>229.3900030901259</v>
      </c>
    </row>
    <row r="797" spans="9:12" x14ac:dyDescent="0.25">
      <c r="I797">
        <v>-124.53194936876366</v>
      </c>
      <c r="L797">
        <v>-8.8671574658538361</v>
      </c>
    </row>
    <row r="798" spans="9:12" x14ac:dyDescent="0.25">
      <c r="I798">
        <v>68.430271810293334</v>
      </c>
      <c r="L798">
        <v>142.95413025142727</v>
      </c>
    </row>
    <row r="799" spans="9:12" x14ac:dyDescent="0.25">
      <c r="I799">
        <v>76.161514875627518</v>
      </c>
      <c r="L799">
        <v>141.52293114671551</v>
      </c>
    </row>
    <row r="800" spans="9:12" x14ac:dyDescent="0.25">
      <c r="I800">
        <v>317.18501450207009</v>
      </c>
      <c r="L800">
        <v>141.52293114671551</v>
      </c>
    </row>
    <row r="801" spans="9:12" x14ac:dyDescent="0.25">
      <c r="I801">
        <v>133.71686145811441</v>
      </c>
      <c r="L801">
        <v>246.19182137194935</v>
      </c>
    </row>
    <row r="802" spans="9:12" x14ac:dyDescent="0.25">
      <c r="I802">
        <v>-33.537812559832219</v>
      </c>
      <c r="L802">
        <v>136.86108647547843</v>
      </c>
    </row>
    <row r="803" spans="9:12" x14ac:dyDescent="0.25">
      <c r="I803">
        <v>47.590461108428372</v>
      </c>
      <c r="L803">
        <v>144.53441891494322</v>
      </c>
    </row>
    <row r="804" spans="9:12" x14ac:dyDescent="0.25">
      <c r="I804">
        <v>-34.453923803111365</v>
      </c>
      <c r="L804">
        <v>169.11648444136142</v>
      </c>
    </row>
    <row r="805" spans="9:12" x14ac:dyDescent="0.25">
      <c r="I805">
        <v>179.70640756227385</v>
      </c>
      <c r="L805">
        <v>114.49824095851</v>
      </c>
    </row>
    <row r="806" spans="9:12" x14ac:dyDescent="0.25">
      <c r="I806">
        <v>158.72319795843987</v>
      </c>
      <c r="L806">
        <v>237.88216926916436</v>
      </c>
    </row>
    <row r="807" spans="9:12" x14ac:dyDescent="0.25">
      <c r="I807">
        <v>44.074953249205919</v>
      </c>
      <c r="L807">
        <v>246.38325075446289</v>
      </c>
    </row>
    <row r="808" spans="9:12" x14ac:dyDescent="0.25">
      <c r="I808">
        <v>150.91066429850162</v>
      </c>
      <c r="L808">
        <v>115.77705708015941</v>
      </c>
    </row>
    <row r="809" spans="9:12" x14ac:dyDescent="0.25">
      <c r="I809">
        <v>194.17878327269864</v>
      </c>
      <c r="L809">
        <v>127.81355707022431</v>
      </c>
    </row>
    <row r="810" spans="9:12" x14ac:dyDescent="0.25">
      <c r="I810">
        <v>-139.11426408697525</v>
      </c>
      <c r="L810">
        <v>210.43713828308853</v>
      </c>
    </row>
    <row r="811" spans="9:12" x14ac:dyDescent="0.25">
      <c r="I811">
        <v>81.118102281220217</v>
      </c>
      <c r="L811">
        <v>243.09668461285162</v>
      </c>
    </row>
    <row r="812" spans="9:12" x14ac:dyDescent="0.25">
      <c r="I812">
        <v>-116.34974619328887</v>
      </c>
      <c r="L812">
        <v>142.26511035628789</v>
      </c>
    </row>
    <row r="813" spans="9:12" x14ac:dyDescent="0.25">
      <c r="I813">
        <v>240.70614085128273</v>
      </c>
      <c r="L813">
        <v>111.0431589421961</v>
      </c>
    </row>
    <row r="814" spans="9:12" x14ac:dyDescent="0.25">
      <c r="I814">
        <v>254.7803146450442</v>
      </c>
      <c r="L814">
        <v>162.20706553240228</v>
      </c>
    </row>
    <row r="815" spans="9:12" x14ac:dyDescent="0.25">
      <c r="I815">
        <v>53.521194935509811</v>
      </c>
      <c r="L815">
        <v>123.15461644820425</v>
      </c>
    </row>
    <row r="816" spans="9:12" x14ac:dyDescent="0.25">
      <c r="I816">
        <v>99.614567599574571</v>
      </c>
      <c r="L816">
        <v>54.392536331639519</v>
      </c>
    </row>
    <row r="817" spans="9:12" x14ac:dyDescent="0.25">
      <c r="I817">
        <v>195.7244782073808</v>
      </c>
      <c r="L817">
        <v>254.49116948887706</v>
      </c>
    </row>
    <row r="818" spans="9:12" x14ac:dyDescent="0.25">
      <c r="I818">
        <v>218.63860690582487</v>
      </c>
      <c r="L818">
        <v>189.74801340333886</v>
      </c>
    </row>
    <row r="819" spans="9:12" x14ac:dyDescent="0.25">
      <c r="I819">
        <v>198.38860288636829</v>
      </c>
      <c r="L819">
        <v>134.77847696877706</v>
      </c>
    </row>
    <row r="820" spans="9:12" x14ac:dyDescent="0.25">
      <c r="I820">
        <v>69.421354158487475</v>
      </c>
      <c r="L820">
        <v>75.990426211618058</v>
      </c>
    </row>
    <row r="821" spans="9:12" x14ac:dyDescent="0.25">
      <c r="I821">
        <v>111.47077731969898</v>
      </c>
      <c r="L821">
        <v>122.87728972365261</v>
      </c>
    </row>
    <row r="822" spans="9:12" x14ac:dyDescent="0.25">
      <c r="I822">
        <v>130.51876731941729</v>
      </c>
      <c r="L822">
        <v>161.44181292967568</v>
      </c>
    </row>
    <row r="823" spans="9:12" x14ac:dyDescent="0.25">
      <c r="I823">
        <v>-109.19639593005877</v>
      </c>
      <c r="L823">
        <v>94.621711926836156</v>
      </c>
    </row>
    <row r="824" spans="9:12" x14ac:dyDescent="0.25">
      <c r="I824">
        <v>37.81305415536076</v>
      </c>
      <c r="L824">
        <v>137.73138369873129</v>
      </c>
    </row>
    <row r="825" spans="9:12" x14ac:dyDescent="0.25">
      <c r="I825">
        <v>152.40893048610974</v>
      </c>
      <c r="L825">
        <v>180.55134678094862</v>
      </c>
    </row>
    <row r="826" spans="9:12" x14ac:dyDescent="0.25">
      <c r="I826">
        <v>-156.8596386660505</v>
      </c>
      <c r="L826">
        <v>141.52293114671551</v>
      </c>
    </row>
    <row r="827" spans="9:12" x14ac:dyDescent="0.25">
      <c r="I827">
        <v>223.29634230242846</v>
      </c>
      <c r="L827">
        <v>140.13997043143189</v>
      </c>
    </row>
    <row r="828" spans="9:12" x14ac:dyDescent="0.25">
      <c r="I828">
        <v>75.574357263612683</v>
      </c>
      <c r="L828">
        <v>147.45680580661724</v>
      </c>
    </row>
    <row r="829" spans="9:12" x14ac:dyDescent="0.25">
      <c r="I829">
        <v>73.430527487143536</v>
      </c>
      <c r="L829">
        <v>115.30518649154533</v>
      </c>
    </row>
    <row r="830" spans="9:12" x14ac:dyDescent="0.25">
      <c r="I830">
        <v>307.31324588328334</v>
      </c>
      <c r="L830">
        <v>174.06665678710942</v>
      </c>
    </row>
    <row r="831" spans="9:12" x14ac:dyDescent="0.25">
      <c r="I831">
        <v>-8.9312288514007605</v>
      </c>
      <c r="L831">
        <v>145.02089229627961</v>
      </c>
    </row>
    <row r="832" spans="9:12" x14ac:dyDescent="0.25">
      <c r="I832">
        <v>261.76646485492051</v>
      </c>
      <c r="L832">
        <v>87.911429122782181</v>
      </c>
    </row>
    <row r="833" spans="9:12" x14ac:dyDescent="0.25">
      <c r="I833">
        <v>125.66245681273449</v>
      </c>
      <c r="L833">
        <v>141.52293114671551</v>
      </c>
    </row>
    <row r="834" spans="9:12" x14ac:dyDescent="0.25">
      <c r="I834">
        <v>-24.29069541670583</v>
      </c>
      <c r="L834">
        <v>146.44527240257747</v>
      </c>
    </row>
    <row r="835" spans="9:12" x14ac:dyDescent="0.25">
      <c r="I835">
        <v>70.416483534393592</v>
      </c>
      <c r="L835">
        <v>124.23868360816095</v>
      </c>
    </row>
    <row r="836" spans="9:12" x14ac:dyDescent="0.25">
      <c r="I836">
        <v>293.89896706825493</v>
      </c>
      <c r="L836">
        <v>124.82311903791566</v>
      </c>
    </row>
    <row r="837" spans="9:12" x14ac:dyDescent="0.25">
      <c r="I837">
        <v>114.89443384457695</v>
      </c>
      <c r="L837">
        <v>63.937217386847749</v>
      </c>
    </row>
    <row r="838" spans="9:12" x14ac:dyDescent="0.25">
      <c r="I838">
        <v>132.7696624630114</v>
      </c>
      <c r="L838">
        <v>141.30911124004592</v>
      </c>
    </row>
    <row r="839" spans="9:12" x14ac:dyDescent="0.25">
      <c r="I839">
        <v>172.24984958760319</v>
      </c>
      <c r="L839">
        <v>24.256032106818225</v>
      </c>
    </row>
    <row r="840" spans="9:12" x14ac:dyDescent="0.25">
      <c r="I840">
        <v>233.5987278188411</v>
      </c>
      <c r="L840">
        <v>145.01293779919143</v>
      </c>
    </row>
    <row r="841" spans="9:12" x14ac:dyDescent="0.25">
      <c r="I841">
        <v>37.68649235312057</v>
      </c>
      <c r="L841">
        <v>117.93488033895756</v>
      </c>
    </row>
    <row r="842" spans="9:12" x14ac:dyDescent="0.25">
      <c r="I842">
        <v>252.87897350605135</v>
      </c>
      <c r="L842">
        <v>106.21385372426573</v>
      </c>
    </row>
    <row r="843" spans="9:12" x14ac:dyDescent="0.25">
      <c r="I843">
        <v>49.184530499035645</v>
      </c>
      <c r="L843">
        <v>220.06547474669776</v>
      </c>
    </row>
    <row r="844" spans="9:12" x14ac:dyDescent="0.25">
      <c r="I844">
        <v>-184.74678719825022</v>
      </c>
      <c r="L844">
        <v>159.29850943461702</v>
      </c>
    </row>
    <row r="845" spans="9:12" x14ac:dyDescent="0.25">
      <c r="I845">
        <v>-15.647087917202384</v>
      </c>
      <c r="L845">
        <v>151.83185808758867</v>
      </c>
    </row>
    <row r="846" spans="9:12" x14ac:dyDescent="0.25">
      <c r="I846">
        <v>96.148759743261053</v>
      </c>
      <c r="L846">
        <v>113.9319900856168</v>
      </c>
    </row>
    <row r="847" spans="9:12" x14ac:dyDescent="0.25">
      <c r="I847">
        <v>-218.74770852042411</v>
      </c>
      <c r="L847">
        <v>113.11486354012334</v>
      </c>
    </row>
    <row r="848" spans="9:12" x14ac:dyDescent="0.25">
      <c r="I848">
        <v>247.06839593810332</v>
      </c>
      <c r="L848">
        <v>165.77414528039526</v>
      </c>
    </row>
    <row r="849" spans="9:12" x14ac:dyDescent="0.25">
      <c r="I849">
        <v>74.068203718634095</v>
      </c>
      <c r="L849">
        <v>107.19696733574546</v>
      </c>
    </row>
    <row r="850" spans="9:12" x14ac:dyDescent="0.25">
      <c r="I850">
        <v>174.64277921291114</v>
      </c>
      <c r="L850">
        <v>157.15301086472653</v>
      </c>
    </row>
    <row r="851" spans="9:12" x14ac:dyDescent="0.25">
      <c r="I851">
        <v>145.81949477678063</v>
      </c>
      <c r="L851">
        <v>141.52293114671551</v>
      </c>
    </row>
    <row r="852" spans="9:12" x14ac:dyDescent="0.25">
      <c r="I852">
        <v>168.14597593913686</v>
      </c>
      <c r="L852">
        <v>211.17574995858433</v>
      </c>
    </row>
    <row r="853" spans="9:12" x14ac:dyDescent="0.25">
      <c r="I853">
        <v>168.57287799173218</v>
      </c>
      <c r="L853">
        <v>131.73448355990843</v>
      </c>
    </row>
    <row r="854" spans="9:12" x14ac:dyDescent="0.25">
      <c r="I854">
        <v>44.196128787195562</v>
      </c>
      <c r="L854">
        <v>253.69542660861453</v>
      </c>
    </row>
    <row r="855" spans="9:12" x14ac:dyDescent="0.25">
      <c r="I855">
        <v>247.48090150572898</v>
      </c>
      <c r="L855">
        <v>60.002599855550386</v>
      </c>
    </row>
    <row r="856" spans="9:12" x14ac:dyDescent="0.25">
      <c r="I856">
        <v>-79.035397737260382</v>
      </c>
      <c r="L856">
        <v>125.19525939486152</v>
      </c>
    </row>
    <row r="857" spans="9:12" x14ac:dyDescent="0.25">
      <c r="I857">
        <v>20.840509633075953</v>
      </c>
      <c r="L857">
        <v>268.94711982301703</v>
      </c>
    </row>
    <row r="858" spans="9:12" x14ac:dyDescent="0.25">
      <c r="I858">
        <v>283.18368436037827</v>
      </c>
      <c r="L858">
        <v>197.88341995346974</v>
      </c>
    </row>
    <row r="859" spans="9:12" x14ac:dyDescent="0.25">
      <c r="I859">
        <v>266.38303175782266</v>
      </c>
      <c r="L859">
        <v>175.25438803924072</v>
      </c>
    </row>
    <row r="860" spans="9:12" x14ac:dyDescent="0.25">
      <c r="I860">
        <v>-82.435990741912747</v>
      </c>
      <c r="L860">
        <v>253.37210585739399</v>
      </c>
    </row>
    <row r="861" spans="9:12" x14ac:dyDescent="0.25">
      <c r="I861">
        <v>-163.35386694159456</v>
      </c>
      <c r="L861">
        <v>262.42486449128171</v>
      </c>
    </row>
    <row r="862" spans="9:12" x14ac:dyDescent="0.25">
      <c r="I862">
        <v>175.28132181910541</v>
      </c>
      <c r="L862">
        <v>160.37128518260494</v>
      </c>
    </row>
    <row r="863" spans="9:12" x14ac:dyDescent="0.25">
      <c r="I863">
        <v>14.974639414399689</v>
      </c>
      <c r="L863">
        <v>211.0845184786632</v>
      </c>
    </row>
    <row r="864" spans="9:12" x14ac:dyDescent="0.25">
      <c r="I864">
        <v>236.54669378957851</v>
      </c>
      <c r="L864">
        <v>99.494402258737409</v>
      </c>
    </row>
    <row r="865" spans="9:12" x14ac:dyDescent="0.25">
      <c r="I865">
        <v>-27.564399673005823</v>
      </c>
      <c r="L865">
        <v>174.18578971203578</v>
      </c>
    </row>
    <row r="866" spans="9:12" x14ac:dyDescent="0.25">
      <c r="I866">
        <v>110.46547281876997</v>
      </c>
      <c r="L866">
        <v>132.51446769565445</v>
      </c>
    </row>
    <row r="867" spans="9:12" x14ac:dyDescent="0.25">
      <c r="I867">
        <v>302.06759940530287</v>
      </c>
      <c r="L867">
        <v>139.66691181807033</v>
      </c>
    </row>
    <row r="868" spans="9:12" x14ac:dyDescent="0.25">
      <c r="I868">
        <v>-153.53631699190305</v>
      </c>
      <c r="L868">
        <v>172.56242676307244</v>
      </c>
    </row>
    <row r="869" spans="9:12" x14ac:dyDescent="0.25">
      <c r="I869">
        <v>146.62008470879232</v>
      </c>
      <c r="L869">
        <v>117.41019743861011</v>
      </c>
    </row>
    <row r="870" spans="9:12" x14ac:dyDescent="0.25">
      <c r="I870">
        <v>46.665543287518062</v>
      </c>
      <c r="L870">
        <v>222.1206887262249</v>
      </c>
    </row>
    <row r="871" spans="9:12" x14ac:dyDescent="0.25">
      <c r="I871">
        <v>106.84287330792108</v>
      </c>
      <c r="L871">
        <v>138.9722630595312</v>
      </c>
    </row>
    <row r="872" spans="9:12" x14ac:dyDescent="0.25">
      <c r="I872">
        <v>185.09945452947682</v>
      </c>
      <c r="L872">
        <v>239.00861131551301</v>
      </c>
    </row>
    <row r="873" spans="9:12" x14ac:dyDescent="0.25">
      <c r="I873">
        <v>43.271170982957869</v>
      </c>
      <c r="L873">
        <v>141.52293114671551</v>
      </c>
    </row>
    <row r="874" spans="9:12" x14ac:dyDescent="0.25">
      <c r="I874">
        <v>64.425970514087112</v>
      </c>
      <c r="L874">
        <v>142.53148876924507</v>
      </c>
    </row>
    <row r="875" spans="9:12" x14ac:dyDescent="0.25">
      <c r="I875">
        <v>-19.813427488052866</v>
      </c>
      <c r="L875">
        <v>163.06851023872559</v>
      </c>
    </row>
    <row r="876" spans="9:12" x14ac:dyDescent="0.25">
      <c r="I876">
        <v>-210.93744292854205</v>
      </c>
      <c r="L876">
        <v>161.95902306412415</v>
      </c>
    </row>
    <row r="877" spans="9:12" x14ac:dyDescent="0.25">
      <c r="I877">
        <v>55.062155542448636</v>
      </c>
      <c r="L877">
        <v>141.52293114671551</v>
      </c>
    </row>
    <row r="878" spans="9:12" x14ac:dyDescent="0.25">
      <c r="I878">
        <v>72.554262882854687</v>
      </c>
      <c r="L878">
        <v>122.29459551311828</v>
      </c>
    </row>
    <row r="879" spans="9:12" x14ac:dyDescent="0.25">
      <c r="I879">
        <v>-57.471828402010715</v>
      </c>
      <c r="L879">
        <v>125.42773478090226</v>
      </c>
    </row>
    <row r="880" spans="9:12" x14ac:dyDescent="0.25">
      <c r="I880">
        <v>218.3750972125149</v>
      </c>
      <c r="L880">
        <v>138.4913285771259</v>
      </c>
    </row>
    <row r="881" spans="9:12" x14ac:dyDescent="0.25">
      <c r="I881">
        <v>216.38409624269207</v>
      </c>
      <c r="L881">
        <v>154.43882430775761</v>
      </c>
    </row>
    <row r="882" spans="9:12" x14ac:dyDescent="0.25">
      <c r="I882">
        <v>86.659371583462985</v>
      </c>
      <c r="L882">
        <v>146.72389363922832</v>
      </c>
    </row>
    <row r="883" spans="9:12" x14ac:dyDescent="0.25">
      <c r="I883">
        <v>94.427854193315738</v>
      </c>
      <c r="L883">
        <v>138.68421019765299</v>
      </c>
    </row>
    <row r="884" spans="9:12" x14ac:dyDescent="0.25">
      <c r="I884">
        <v>-122.02954302051353</v>
      </c>
      <c r="L884">
        <v>173.76472742488647</v>
      </c>
    </row>
    <row r="885" spans="9:12" x14ac:dyDescent="0.25">
      <c r="I885">
        <v>294.93572416646384</v>
      </c>
      <c r="L885">
        <v>141.52293114671551</v>
      </c>
    </row>
    <row r="886" spans="9:12" x14ac:dyDescent="0.25">
      <c r="I886">
        <v>175.03495845137036</v>
      </c>
      <c r="L886">
        <v>171.71921066530683</v>
      </c>
    </row>
    <row r="887" spans="9:12" x14ac:dyDescent="0.25">
      <c r="I887">
        <v>-61.013569359641224</v>
      </c>
      <c r="L887">
        <v>163.70417711795801</v>
      </c>
    </row>
    <row r="888" spans="9:12" x14ac:dyDescent="0.25">
      <c r="I888">
        <v>172.04157242453766</v>
      </c>
      <c r="L888">
        <v>117.78271567603338</v>
      </c>
    </row>
    <row r="889" spans="9:12" x14ac:dyDescent="0.25">
      <c r="I889">
        <v>-35.826215254692443</v>
      </c>
      <c r="L889">
        <v>190.00702382440113</v>
      </c>
    </row>
    <row r="890" spans="9:12" x14ac:dyDescent="0.25">
      <c r="I890">
        <v>176.14920286665119</v>
      </c>
      <c r="L890">
        <v>91.367807667899967</v>
      </c>
    </row>
    <row r="891" spans="9:12" x14ac:dyDescent="0.25">
      <c r="I891">
        <v>10.668816823246175</v>
      </c>
      <c r="L891">
        <v>134.57014842803886</v>
      </c>
    </row>
    <row r="892" spans="9:12" x14ac:dyDescent="0.25">
      <c r="I892">
        <v>286.7500363754807</v>
      </c>
      <c r="L892">
        <v>144.42033199302273</v>
      </c>
    </row>
    <row r="893" spans="9:12" x14ac:dyDescent="0.25">
      <c r="I893">
        <v>43.267024233206484</v>
      </c>
      <c r="L893">
        <v>170.61617938120463</v>
      </c>
    </row>
    <row r="894" spans="9:12" x14ac:dyDescent="0.25">
      <c r="I894">
        <v>44.515265188034846</v>
      </c>
      <c r="L894">
        <v>158.36731776333318</v>
      </c>
    </row>
    <row r="895" spans="9:12" x14ac:dyDescent="0.25">
      <c r="I895">
        <v>-8.5055916817962043</v>
      </c>
      <c r="L895">
        <v>168.47158660980494</v>
      </c>
    </row>
    <row r="896" spans="9:12" x14ac:dyDescent="0.25">
      <c r="I896">
        <v>104.56610422981828</v>
      </c>
      <c r="L896">
        <v>220.51139685289729</v>
      </c>
    </row>
    <row r="897" spans="9:12" x14ac:dyDescent="0.25">
      <c r="I897">
        <v>-15.663262356317546</v>
      </c>
      <c r="L897">
        <v>130.47210155451165</v>
      </c>
    </row>
    <row r="898" spans="9:12" x14ac:dyDescent="0.25">
      <c r="I898">
        <v>15.21934229663043</v>
      </c>
      <c r="L898">
        <v>-24.728539745248781</v>
      </c>
    </row>
    <row r="899" spans="9:12" x14ac:dyDescent="0.25">
      <c r="I899">
        <v>48.861299923976844</v>
      </c>
      <c r="L899">
        <v>112.37704021904148</v>
      </c>
    </row>
    <row r="900" spans="9:12" x14ac:dyDescent="0.25">
      <c r="I900">
        <v>410.19770142424977</v>
      </c>
      <c r="L900">
        <v>233.37112544800198</v>
      </c>
    </row>
    <row r="901" spans="9:12" x14ac:dyDescent="0.25">
      <c r="I901">
        <v>107.43174918943532</v>
      </c>
      <c r="L901">
        <v>131.1206952541537</v>
      </c>
    </row>
    <row r="902" spans="9:12" x14ac:dyDescent="0.25">
      <c r="I902">
        <v>271.88173863201109</v>
      </c>
      <c r="L902">
        <v>86.809915847545767</v>
      </c>
    </row>
    <row r="903" spans="9:12" x14ac:dyDescent="0.25">
      <c r="I903">
        <v>-271.94912406397975</v>
      </c>
      <c r="L903">
        <v>93.603694615125903</v>
      </c>
    </row>
    <row r="904" spans="9:12" x14ac:dyDescent="0.25">
      <c r="I904">
        <v>-73.228678181931173</v>
      </c>
      <c r="L904">
        <v>164.12971884506061</v>
      </c>
    </row>
    <row r="905" spans="9:12" x14ac:dyDescent="0.25">
      <c r="I905">
        <v>-59.5624481923453</v>
      </c>
      <c r="L905">
        <v>141.52293114671551</v>
      </c>
    </row>
    <row r="906" spans="9:12" x14ac:dyDescent="0.25">
      <c r="I906">
        <v>11.965310374025876</v>
      </c>
      <c r="L906">
        <v>147.6717137727689</v>
      </c>
    </row>
    <row r="907" spans="9:12" x14ac:dyDescent="0.25">
      <c r="I907">
        <v>198.83059828570163</v>
      </c>
      <c r="L907">
        <v>137.90965859177788</v>
      </c>
    </row>
    <row r="908" spans="9:12" x14ac:dyDescent="0.25">
      <c r="I908">
        <v>188.25882335421284</v>
      </c>
      <c r="L908">
        <v>141.52293114671551</v>
      </c>
    </row>
    <row r="909" spans="9:12" x14ac:dyDescent="0.25">
      <c r="I909">
        <v>-42.808766626742226</v>
      </c>
      <c r="L909">
        <v>141.52293114671551</v>
      </c>
    </row>
    <row r="910" spans="9:12" x14ac:dyDescent="0.25">
      <c r="I910">
        <v>101.26892056297538</v>
      </c>
      <c r="L910">
        <v>141.52293114671551</v>
      </c>
    </row>
    <row r="911" spans="9:12" x14ac:dyDescent="0.25">
      <c r="I911">
        <v>183.5458382976301</v>
      </c>
      <c r="L911">
        <v>141.52293114671551</v>
      </c>
    </row>
    <row r="912" spans="9:12" x14ac:dyDescent="0.25">
      <c r="I912">
        <v>275.85841877869234</v>
      </c>
      <c r="L912">
        <v>9.0603956572456923</v>
      </c>
    </row>
    <row r="913" spans="9:12" x14ac:dyDescent="0.25">
      <c r="I913">
        <v>70.942558050076514</v>
      </c>
      <c r="L913">
        <v>141.52293114671551</v>
      </c>
    </row>
    <row r="914" spans="9:12" x14ac:dyDescent="0.25">
      <c r="I914">
        <v>34.001378434209187</v>
      </c>
      <c r="L914">
        <v>221.07465595875078</v>
      </c>
    </row>
    <row r="915" spans="9:12" x14ac:dyDescent="0.25">
      <c r="I915">
        <v>-10.537350157779997</v>
      </c>
      <c r="L915">
        <v>195.50397407323931</v>
      </c>
    </row>
    <row r="916" spans="9:12" x14ac:dyDescent="0.25">
      <c r="I916">
        <v>79.906686755407691</v>
      </c>
      <c r="L916">
        <v>79.720640104352071</v>
      </c>
    </row>
    <row r="917" spans="9:12" x14ac:dyDescent="0.25">
      <c r="I917">
        <v>137.33972467553349</v>
      </c>
      <c r="L917">
        <v>189.88380977966386</v>
      </c>
    </row>
    <row r="918" spans="9:12" x14ac:dyDescent="0.25">
      <c r="I918">
        <v>199.04257132200019</v>
      </c>
      <c r="L918">
        <v>161.14514143463282</v>
      </c>
    </row>
    <row r="919" spans="9:12" x14ac:dyDescent="0.25">
      <c r="I919">
        <v>-7.3831289950153405</v>
      </c>
      <c r="L919">
        <v>200.2410977246231</v>
      </c>
    </row>
    <row r="920" spans="9:12" x14ac:dyDescent="0.25">
      <c r="I920">
        <v>73.63755356758395</v>
      </c>
      <c r="L920">
        <v>111.20836587392569</v>
      </c>
    </row>
    <row r="921" spans="9:12" x14ac:dyDescent="0.25">
      <c r="I921">
        <v>43.109497336745676</v>
      </c>
      <c r="L921">
        <v>132.66686407484212</v>
      </c>
    </row>
    <row r="922" spans="9:12" x14ac:dyDescent="0.25">
      <c r="I922">
        <v>82.532962213440896</v>
      </c>
      <c r="L922">
        <v>170.73343148370918</v>
      </c>
    </row>
    <row r="923" spans="9:12" x14ac:dyDescent="0.25">
      <c r="I923">
        <v>-35.041774167762242</v>
      </c>
      <c r="L923">
        <v>29.881367000903879</v>
      </c>
    </row>
    <row r="924" spans="9:12" x14ac:dyDescent="0.25">
      <c r="I924">
        <v>-94.971725070458774</v>
      </c>
      <c r="L924">
        <v>149.62884623307667</v>
      </c>
    </row>
    <row r="925" spans="9:12" x14ac:dyDescent="0.25">
      <c r="I925">
        <v>112.75819677339132</v>
      </c>
      <c r="L925">
        <v>180.65770691451144</v>
      </c>
    </row>
    <row r="926" spans="9:12" x14ac:dyDescent="0.25">
      <c r="I926">
        <v>-94.898880784087737</v>
      </c>
      <c r="L926">
        <v>169.69976712462346</v>
      </c>
    </row>
    <row r="927" spans="9:12" x14ac:dyDescent="0.25">
      <c r="I927">
        <v>207.15416188847985</v>
      </c>
      <c r="L927">
        <v>154.04838548112821</v>
      </c>
    </row>
    <row r="928" spans="9:12" x14ac:dyDescent="0.25">
      <c r="I928">
        <v>113.14398748586734</v>
      </c>
      <c r="L928">
        <v>153.13448026471525</v>
      </c>
    </row>
    <row r="929" spans="9:12" x14ac:dyDescent="0.25">
      <c r="I929">
        <v>43.067442912189449</v>
      </c>
      <c r="L929">
        <v>167.74637563714174</v>
      </c>
    </row>
    <row r="930" spans="9:12" x14ac:dyDescent="0.25">
      <c r="I930">
        <v>-92.27010575943541</v>
      </c>
      <c r="L930">
        <v>81.61690514136842</v>
      </c>
    </row>
    <row r="931" spans="9:12" x14ac:dyDescent="0.25">
      <c r="I931">
        <v>114.13919528401493</v>
      </c>
      <c r="L931">
        <v>136.34595567064389</v>
      </c>
    </row>
    <row r="932" spans="9:12" x14ac:dyDescent="0.25">
      <c r="I932">
        <v>136.93677992424227</v>
      </c>
      <c r="L932">
        <v>118.23122764152714</v>
      </c>
    </row>
    <row r="933" spans="9:12" x14ac:dyDescent="0.25">
      <c r="I933">
        <v>376.56928945849086</v>
      </c>
      <c r="L933">
        <v>141.52293114671551</v>
      </c>
    </row>
    <row r="934" spans="9:12" x14ac:dyDescent="0.25">
      <c r="I934">
        <v>51.956144353227273</v>
      </c>
      <c r="L934">
        <v>113.00441047661093</v>
      </c>
    </row>
    <row r="935" spans="9:12" x14ac:dyDescent="0.25">
      <c r="I935">
        <v>130.72472859327877</v>
      </c>
      <c r="L935">
        <v>108.48150285958798</v>
      </c>
    </row>
    <row r="936" spans="9:12" x14ac:dyDescent="0.25">
      <c r="I936">
        <v>48.352800805897687</v>
      </c>
      <c r="L936">
        <v>271.12161251448106</v>
      </c>
    </row>
    <row r="937" spans="9:12" x14ac:dyDescent="0.25">
      <c r="I937">
        <v>235.30663332846029</v>
      </c>
      <c r="L937">
        <v>174.27334265441743</v>
      </c>
    </row>
    <row r="938" spans="9:12" x14ac:dyDescent="0.25">
      <c r="I938">
        <v>31.853336021356199</v>
      </c>
      <c r="L938">
        <v>261.53811750550358</v>
      </c>
    </row>
    <row r="939" spans="9:12" x14ac:dyDescent="0.25">
      <c r="I939">
        <v>108.1674810407585</v>
      </c>
      <c r="L939">
        <v>137.52640211319033</v>
      </c>
    </row>
    <row r="940" spans="9:12" x14ac:dyDescent="0.25">
      <c r="I940">
        <v>24.845401688282777</v>
      </c>
      <c r="L940">
        <v>117.28107333103213</v>
      </c>
    </row>
    <row r="941" spans="9:12" x14ac:dyDescent="0.25">
      <c r="I941">
        <v>273.11861484450742</v>
      </c>
      <c r="L941">
        <v>140.42549886564365</v>
      </c>
    </row>
    <row r="942" spans="9:12" x14ac:dyDescent="0.25">
      <c r="I942">
        <v>-80.407295166003678</v>
      </c>
      <c r="L942">
        <v>141.52293114671551</v>
      </c>
    </row>
    <row r="943" spans="9:12" x14ac:dyDescent="0.25">
      <c r="I943">
        <v>-138.83725988347192</v>
      </c>
      <c r="L943">
        <v>141.52293114671551</v>
      </c>
    </row>
    <row r="944" spans="9:12" x14ac:dyDescent="0.25">
      <c r="I944">
        <v>196.83682188798457</v>
      </c>
      <c r="L944">
        <v>127.59128711984204</v>
      </c>
    </row>
    <row r="945" spans="9:12" x14ac:dyDescent="0.25">
      <c r="I945">
        <v>-61.826791612623538</v>
      </c>
      <c r="L945">
        <v>141.52293114671551</v>
      </c>
    </row>
    <row r="946" spans="9:12" x14ac:dyDescent="0.25">
      <c r="I946">
        <v>63.922974652132893</v>
      </c>
      <c r="L946">
        <v>109.89650691389949</v>
      </c>
    </row>
    <row r="947" spans="9:12" x14ac:dyDescent="0.25">
      <c r="I947">
        <v>277.43451057486209</v>
      </c>
      <c r="L947">
        <v>105.88636575140288</v>
      </c>
    </row>
    <row r="948" spans="9:12" x14ac:dyDescent="0.25">
      <c r="I948">
        <v>-5.8816178321525285</v>
      </c>
      <c r="L948">
        <v>140.44707918791642</v>
      </c>
    </row>
    <row r="949" spans="9:12" x14ac:dyDescent="0.25">
      <c r="I949">
        <v>134.98245058339535</v>
      </c>
      <c r="L949">
        <v>240.66284911989044</v>
      </c>
    </row>
    <row r="950" spans="9:12" x14ac:dyDescent="0.25">
      <c r="I950">
        <v>193.95352470293597</v>
      </c>
      <c r="L950">
        <v>152.12420957439298</v>
      </c>
    </row>
    <row r="951" spans="9:12" x14ac:dyDescent="0.25">
      <c r="I951">
        <v>-119.29202196898586</v>
      </c>
      <c r="L951">
        <v>117.9771099974534</v>
      </c>
    </row>
    <row r="952" spans="9:12" x14ac:dyDescent="0.25">
      <c r="I952">
        <v>75.867726494303497</v>
      </c>
      <c r="L952">
        <v>171.69088513792082</v>
      </c>
    </row>
    <row r="953" spans="9:12" x14ac:dyDescent="0.25">
      <c r="I953">
        <v>107.16542432949723</v>
      </c>
      <c r="L953">
        <v>253.00898628758478</v>
      </c>
    </row>
    <row r="954" spans="9:12" x14ac:dyDescent="0.25">
      <c r="I954">
        <v>217.98255614491791</v>
      </c>
      <c r="L954">
        <v>141.52293114671551</v>
      </c>
    </row>
    <row r="955" spans="9:12" x14ac:dyDescent="0.25">
      <c r="I955">
        <v>13.010167565962206</v>
      </c>
      <c r="L955">
        <v>155.55730806534211</v>
      </c>
    </row>
    <row r="956" spans="9:12" x14ac:dyDescent="0.25">
      <c r="I956">
        <v>-27.081899221829985</v>
      </c>
      <c r="L956">
        <v>141.52293114671551</v>
      </c>
    </row>
    <row r="957" spans="9:12" x14ac:dyDescent="0.25">
      <c r="I957">
        <v>-11.744902848392712</v>
      </c>
      <c r="L957">
        <v>162.83528510552992</v>
      </c>
    </row>
    <row r="958" spans="9:12" x14ac:dyDescent="0.25">
      <c r="I958">
        <v>-10.834258068858389</v>
      </c>
      <c r="L958">
        <v>152.8787238922892</v>
      </c>
    </row>
    <row r="959" spans="9:12" x14ac:dyDescent="0.25">
      <c r="I959">
        <v>267.09660743538302</v>
      </c>
      <c r="L959">
        <v>139.90985191963136</v>
      </c>
    </row>
    <row r="960" spans="9:12" x14ac:dyDescent="0.25">
      <c r="I960">
        <v>162.47089948908251</v>
      </c>
      <c r="L960">
        <v>128.12993848039309</v>
      </c>
    </row>
    <row r="961" spans="9:12" x14ac:dyDescent="0.25">
      <c r="I961">
        <v>159.27045535154912</v>
      </c>
      <c r="L961">
        <v>100.97829552680338</v>
      </c>
    </row>
    <row r="962" spans="9:12" x14ac:dyDescent="0.25">
      <c r="I962">
        <v>-23.973254739007416</v>
      </c>
      <c r="L962">
        <v>232.63609116908037</v>
      </c>
    </row>
    <row r="963" spans="9:12" x14ac:dyDescent="0.25">
      <c r="I963">
        <v>162.44314888863551</v>
      </c>
      <c r="L963">
        <v>132.3855139675577</v>
      </c>
    </row>
    <row r="964" spans="9:12" x14ac:dyDescent="0.25">
      <c r="I964">
        <v>366.9128388107199</v>
      </c>
      <c r="L964">
        <v>172.50382350971904</v>
      </c>
    </row>
    <row r="965" spans="9:12" x14ac:dyDescent="0.25">
      <c r="I965">
        <v>-280.4105591614981</v>
      </c>
      <c r="L965">
        <v>185.01972039197096</v>
      </c>
    </row>
    <row r="966" spans="9:12" x14ac:dyDescent="0.25">
      <c r="I966">
        <v>120.8082186052975</v>
      </c>
      <c r="L966">
        <v>193.30134324089363</v>
      </c>
    </row>
    <row r="967" spans="9:12" x14ac:dyDescent="0.25">
      <c r="I967">
        <v>-72.096891247022882</v>
      </c>
      <c r="L967">
        <v>190.12244614466738</v>
      </c>
    </row>
    <row r="968" spans="9:12" x14ac:dyDescent="0.25">
      <c r="I968">
        <v>118.99567701048431</v>
      </c>
      <c r="L968">
        <v>161.40046113145524</v>
      </c>
    </row>
    <row r="969" spans="9:12" x14ac:dyDescent="0.25">
      <c r="I969">
        <v>-29.779009087827603</v>
      </c>
      <c r="L969">
        <v>141.52293114671551</v>
      </c>
    </row>
    <row r="970" spans="9:12" x14ac:dyDescent="0.25">
      <c r="I970">
        <v>118.72960055568956</v>
      </c>
      <c r="L970">
        <v>112.7845583996799</v>
      </c>
    </row>
    <row r="971" spans="9:12" x14ac:dyDescent="0.25">
      <c r="I971">
        <v>141.29090675058728</v>
      </c>
      <c r="L971">
        <v>124.8886191902364</v>
      </c>
    </row>
    <row r="972" spans="9:12" x14ac:dyDescent="0.25">
      <c r="I972">
        <v>186.46749560893636</v>
      </c>
      <c r="L972">
        <v>169.65737491507275</v>
      </c>
    </row>
    <row r="973" spans="9:12" x14ac:dyDescent="0.25">
      <c r="I973">
        <v>149.93587028840057</v>
      </c>
      <c r="L973">
        <v>141.52293114671551</v>
      </c>
    </row>
    <row r="974" spans="9:12" x14ac:dyDescent="0.25">
      <c r="I974">
        <v>-56.93197483166955</v>
      </c>
      <c r="L974">
        <v>210.06034181086682</v>
      </c>
    </row>
    <row r="975" spans="9:12" x14ac:dyDescent="0.25">
      <c r="I975">
        <v>105.60450507543715</v>
      </c>
      <c r="L975">
        <v>213.11534205353541</v>
      </c>
    </row>
    <row r="976" spans="9:12" x14ac:dyDescent="0.25">
      <c r="I976">
        <v>-105.96445147534632</v>
      </c>
      <c r="L976">
        <v>71.180338054991068</v>
      </c>
    </row>
    <row r="977" spans="9:12" x14ac:dyDescent="0.25">
      <c r="I977">
        <v>253.73037773364717</v>
      </c>
      <c r="L977">
        <v>155.29737107168734</v>
      </c>
    </row>
    <row r="978" spans="9:12" x14ac:dyDescent="0.25">
      <c r="I978">
        <v>56.012584641629928</v>
      </c>
      <c r="L978">
        <v>97.924226736286357</v>
      </c>
    </row>
    <row r="979" spans="9:12" x14ac:dyDescent="0.25">
      <c r="I979">
        <v>120.63793393485685</v>
      </c>
      <c r="L979">
        <v>145.81136170114911</v>
      </c>
    </row>
    <row r="980" spans="9:12" x14ac:dyDescent="0.25">
      <c r="I980">
        <v>-63.009455704932293</v>
      </c>
      <c r="L980">
        <v>122.1791019670481</v>
      </c>
    </row>
    <row r="981" spans="9:12" x14ac:dyDescent="0.25">
      <c r="I981">
        <v>-129.21487381623979</v>
      </c>
      <c r="L981">
        <v>238.42368366028029</v>
      </c>
    </row>
    <row r="982" spans="9:12" x14ac:dyDescent="0.25">
      <c r="I982">
        <v>145.01505241788686</v>
      </c>
      <c r="L982">
        <v>141.97739376880202</v>
      </c>
    </row>
    <row r="983" spans="9:12" x14ac:dyDescent="0.25">
      <c r="I983">
        <v>10.852025617451432</v>
      </c>
      <c r="L983">
        <v>141.52293114671551</v>
      </c>
    </row>
    <row r="984" spans="9:12" x14ac:dyDescent="0.25">
      <c r="I984">
        <v>47.530122351726277</v>
      </c>
      <c r="L984">
        <v>169.93636573039862</v>
      </c>
    </row>
    <row r="985" spans="9:12" x14ac:dyDescent="0.25">
      <c r="I985">
        <v>-81.850359183261389</v>
      </c>
      <c r="L985">
        <v>154.94189795309654</v>
      </c>
    </row>
    <row r="986" spans="9:12" x14ac:dyDescent="0.25">
      <c r="I986">
        <v>-124.21664303097771</v>
      </c>
      <c r="L986">
        <v>172.61575927048193</v>
      </c>
    </row>
    <row r="987" spans="9:12" x14ac:dyDescent="0.25">
      <c r="I987">
        <v>-29.996248369804562</v>
      </c>
      <c r="L987">
        <v>172.82866379036079</v>
      </c>
    </row>
    <row r="988" spans="9:12" x14ac:dyDescent="0.25">
      <c r="I988">
        <v>-56.344889042632758</v>
      </c>
      <c r="L988">
        <v>81.110079903118105</v>
      </c>
    </row>
    <row r="989" spans="9:12" x14ac:dyDescent="0.25">
      <c r="I989">
        <v>180.21521081374431</v>
      </c>
      <c r="L989">
        <v>163.58274269632318</v>
      </c>
    </row>
    <row r="990" spans="9:12" x14ac:dyDescent="0.25">
      <c r="I990">
        <v>-13.061796752131386</v>
      </c>
      <c r="L990">
        <v>224.69218594454617</v>
      </c>
    </row>
    <row r="991" spans="9:12" x14ac:dyDescent="0.25">
      <c r="I991">
        <v>76.887760143961486</v>
      </c>
      <c r="L991">
        <v>126.02867783477132</v>
      </c>
    </row>
    <row r="992" spans="9:12" x14ac:dyDescent="0.25">
      <c r="I992">
        <v>192.00210385971741</v>
      </c>
      <c r="L992">
        <v>153.25331580814236</v>
      </c>
    </row>
    <row r="993" spans="9:12" x14ac:dyDescent="0.25">
      <c r="I993">
        <v>136.74380186966255</v>
      </c>
      <c r="L993">
        <v>95.318049469912864</v>
      </c>
    </row>
    <row r="994" spans="9:12" x14ac:dyDescent="0.25">
      <c r="I994">
        <v>87.097934817236137</v>
      </c>
      <c r="L994">
        <v>185.79281713195383</v>
      </c>
    </row>
    <row r="995" spans="9:12" x14ac:dyDescent="0.25">
      <c r="I995">
        <v>242.60894061586919</v>
      </c>
      <c r="L995">
        <v>160.83976564898859</v>
      </c>
    </row>
    <row r="996" spans="9:12" x14ac:dyDescent="0.25">
      <c r="I996">
        <v>-9.5540861018121177</v>
      </c>
      <c r="L996">
        <v>156.43892137280312</v>
      </c>
    </row>
    <row r="997" spans="9:12" x14ac:dyDescent="0.25">
      <c r="I997">
        <v>38.743105125014608</v>
      </c>
      <c r="L997">
        <v>164.3450632067358</v>
      </c>
    </row>
    <row r="998" spans="9:12" x14ac:dyDescent="0.25">
      <c r="I998">
        <v>257.38982241214103</v>
      </c>
      <c r="L998">
        <v>141.52293114671551</v>
      </c>
    </row>
    <row r="999" spans="9:12" x14ac:dyDescent="0.25">
      <c r="I999">
        <v>-89.784765994531654</v>
      </c>
      <c r="L999">
        <v>119.24870412533835</v>
      </c>
    </row>
    <row r="1000" spans="9:12" x14ac:dyDescent="0.25">
      <c r="I1000">
        <v>234.18943501799345</v>
      </c>
      <c r="L1000">
        <v>138.04886185215486</v>
      </c>
    </row>
    <row r="1001" spans="9:12" x14ac:dyDescent="0.25">
      <c r="I1001">
        <v>69.996218371292798</v>
      </c>
      <c r="L1001">
        <v>112.71415613209405</v>
      </c>
    </row>
    <row r="1002" spans="9:12" x14ac:dyDescent="0.25">
      <c r="I1002">
        <v>347.63753252592369</v>
      </c>
      <c r="L1002">
        <v>98.151307891815293</v>
      </c>
    </row>
    <row r="1003" spans="9:12" x14ac:dyDescent="0.25">
      <c r="I1003">
        <v>212.49801463726658</v>
      </c>
      <c r="L1003">
        <v>79.800654358175905</v>
      </c>
    </row>
  </sheetData>
  <mergeCells count="5">
    <mergeCell ref="H1:L1"/>
    <mergeCell ref="N1:P1"/>
    <mergeCell ref="R1:T1"/>
    <mergeCell ref="A5:E5"/>
    <mergeCell ref="A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PartA</vt:lpstr>
      <vt:lpstr>PartB</vt:lpstr>
      <vt:lpstr>Part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Typical</dc:creator>
  <cp:lastModifiedBy>Eddy Rambim</cp:lastModifiedBy>
  <dcterms:created xsi:type="dcterms:W3CDTF">2015-01-09T05:30:29Z</dcterms:created>
  <dcterms:modified xsi:type="dcterms:W3CDTF">2026-01-31T23:01:12Z</dcterms:modified>
</cp:coreProperties>
</file>